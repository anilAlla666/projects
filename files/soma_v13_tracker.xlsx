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ase Tracker" sheetId="1" state="visible" r:id="rId3"/>
    <sheet name="Capabilities" sheetId="2" state="visible" r:id="rId4"/>
    <sheet name="Dashboard" sheetId="3" state="visible" r:id="rId5"/>
    <sheet name="IO Patterns" sheetId="4" state="visible" r:id="rId6"/>
    <sheet name="Unlock Ga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<sst xmlns="http://schemas.openxmlformats.org/spreadsheetml/2006/main" count="1153" uniqueCount="519">
  <si>
    <t xml:space="preserve">Phase</t>
  </si>
  <si>
    <t xml:space="preserve">Name</t>
  </si>
  <si>
    <t xml:space="preserve">Status</t>
  </si>
  <si>
    <t xml:space="preserve">Key Deliverable</t>
  </si>
  <si>
    <t xml:space="preserve">Key Metric</t>
  </si>
  <si>
    <t xml:space="preserve">Result</t>
  </si>
  <si>
    <t xml:space="preserve">Blockers</t>
  </si>
  <si>
    <t xml:space="preserve">Files / Artifacts</t>
  </si>
  <si>
    <t xml:space="preserve">Notes</t>
  </si>
  <si>
    <t xml:space="preserve">1</t>
  </si>
  <si>
    <t xml:space="preserve">CfC/NCP Core</t>
  </si>
  <si>
    <t xml:space="preserve">✅ Done</t>
  </si>
  <si>
    <t xml:space="preserve">CfC cell + NCP wiring in JAX</t>
  </si>
  <si>
    <t xml:space="preserve">Unit tests</t>
  </si>
  <si>
    <t xml:space="preserve">8/8 passing</t>
  </si>
  <si>
    <t xml:space="preserve">—</t>
  </si>
  <si>
    <t xml:space="preserve">phase1_cfc_ncp.py</t>
  </si>
  <si>
    <t xml:space="preserve">Cross-referenced all v1-v12 failures</t>
  </si>
  <si>
    <t xml:space="preserve">2</t>
  </si>
  <si>
    <t xml:space="preserve">MLP Baseline</t>
  </si>
  <si>
    <t xml:space="preserve">MLP locomotion policy (Brax PPO)</t>
  </si>
  <si>
    <t xml:space="preserve">Reward</t>
  </si>
  <si>
    <t xml:space="preserve">11.51</t>
  </si>
  <si>
    <t xml:space="preserve">phase2_mlp_baseline.py</t>
  </si>
  <si>
    <t xml:space="preserve">Pivoted from custom PPO to MuJoCo Playground</t>
  </si>
  <si>
    <t xml:space="preserve">3a</t>
  </si>
  <si>
    <t xml:space="preserve">CfC Locomotion</t>
  </si>
  <si>
    <t xml:space="preserve">CfC policy beats MLP on Go1</t>
  </si>
  <si>
    <t xml:space="preserve">Reward (vs MLP)</t>
  </si>
  <si>
    <t xml:space="preserve">27.4 (2.38x)</t>
  </si>
  <si>
    <t xml:space="preserve">phase3_cfc_brax_ppo.py</t>
  </si>
  <si>
    <t xml:space="preserve">First CfC quadruped locomotion</t>
  </si>
  <si>
    <t xml:space="preserve">3b</t>
  </si>
  <si>
    <t xml:space="preserve">Recurrent CfC</t>
  </si>
  <si>
    <t xml:space="preserve">Hidden state carry through PPO</t>
  </si>
  <si>
    <t xml:space="preserve">26.6</t>
  </si>
  <si>
    <t xml:space="preserve">phase3b_complete.py</t>
  </si>
  <si>
    <t xml:space="preserve">Normalizer corruption fixed, h evolves</t>
  </si>
  <si>
    <t xml:space="preserve">4</t>
  </si>
  <si>
    <t xml:space="preserve">CBF Safety Layer</t>
  </si>
  <si>
    <t xml:space="preserve">0th-order CBF with 10kHz proof</t>
  </si>
  <si>
    <t xml:space="preserve">Unit tests / freq</t>
  </si>
  <si>
    <t xml:space="preserve">7/7 ✓ / 84kHz</t>
  </si>
  <si>
    <t xml:space="preserve">phase4_soma_cbf_final.py</t>
  </si>
  <si>
    <t xml:space="preserve">HOCBF failed (M too small), static CBF correct for PD joints</t>
  </si>
  <si>
    <t xml:space="preserve">5</t>
  </si>
  <si>
    <t xml:space="preserve">Body-Level CBFs</t>
  </si>
  <si>
    <t xml:space="preserve">🔲 Todo</t>
  </si>
  <si>
    <t xml:space="preserve">Roll/pitch limits, min height, CoM</t>
  </si>
  <si>
    <t xml:space="preserve">Tip-over prevention</t>
  </si>
  <si>
    <t xml:space="preserve">Needs Phase 4 env access</t>
  </si>
  <si>
    <t xml:space="preserve">Compose on top of joint CBF</t>
  </si>
  <si>
    <t xml:space="preserve">6</t>
  </si>
  <si>
    <t xml:space="preserve">Multi-Robot</t>
  </si>
  <si>
    <t xml:space="preserve">Train Go1+H1, test A1+Cassie</t>
  </si>
  <si>
    <t xml:space="preserve">Zero-shot transfer accuracy</t>
  </si>
  <si>
    <t xml:space="preserve">Needs H1 env setup</t>
  </si>
  <si>
    <t xml:space="preserve">Validates 'any-robot URDF' claim</t>
  </si>
  <si>
    <t xml:space="preserve">7</t>
  </si>
  <si>
    <t xml:space="preserve">MoE Integration</t>
  </si>
  <si>
    <t xml:space="preserve">8 Expert CfC + Gate routing</t>
  </si>
  <si>
    <t xml:space="preserve">Multi-task reward</t>
  </si>
  <si>
    <t xml:space="preserve">Needs Phase 6</t>
  </si>
  <si>
    <t xml:space="preserve">v11 architecture: Backbone→Gate→Experts→Heads</t>
  </si>
  <si>
    <t xml:space="preserve">8</t>
  </si>
  <si>
    <t xml:space="preserve">Deployment</t>
  </si>
  <si>
    <t xml:space="preserve">INT8 quant, AOT export, sub-500KB</t>
  </si>
  <si>
    <t xml:space="preserve">Model size / CPU latency</t>
  </si>
  <si>
    <t xml:space="preserve">Needs Phase 7</t>
  </si>
  <si>
    <t xml:space="preserve">C reimplementation of CBF for ARM</t>
  </si>
  <si>
    <t xml:space="preserve">9</t>
  </si>
  <si>
    <t xml:space="preserve">H1 Torque CBF</t>
  </si>
  <si>
    <t xml:space="preserve">2nd-order HOCBF with real M(q)</t>
  </si>
  <si>
    <t xml:space="preserve">Velocity safety guarantee</t>
  </si>
  <si>
    <t xml:space="preserve">Needs Phase 6 (H1 env)</t>
  </si>
  <si>
    <t xml:space="preserve">mj_mulM for torque-controlled joints</t>
  </si>
  <si>
    <t xml:space="preserve">10</t>
  </si>
  <si>
    <t xml:space="preserve">World Model</t>
  </si>
  <si>
    <t xml:space="preserve">CfC world model + imagination rollouts</t>
  </si>
  <si>
    <t xml:space="preserve">Prediction accuracy</t>
  </si>
  <si>
    <t xml:space="preserve">Needs Phase 3b policy</t>
  </si>
  <si>
    <t xml:space="preserve">Original v12 Step 2/3 vision</t>
  </si>
  <si>
    <t xml:space="preserve">#</t>
  </si>
  <si>
    <t xml:space="preserve">Category</t>
  </si>
  <si>
    <t xml:space="preserve">Capability</t>
  </si>
  <si>
    <t xml:space="preserve">Phase Required</t>
  </si>
  <si>
    <t xml:space="preserve">I/O Pattern</t>
  </si>
  <si>
    <t xml:space="preserve">Robot(s)</t>
  </si>
  <si>
    <t xml:space="preserve">Obs Dims</t>
  </si>
  <si>
    <t xml:space="preserve">Act Dims</t>
  </si>
  <si>
    <t xml:space="preserve">Validated On</t>
  </si>
  <si>
    <t xml:space="preserve">Locomotion</t>
  </si>
  <si>
    <t xml:space="preserve">Forward walk</t>
  </si>
  <si>
    <t xml:space="preserve">3a/3b</t>
  </si>
  <si>
    <t xml:space="preserve">Velocity cmd → PD targets</t>
  </si>
  <si>
    <t xml:space="preserve">Go1</t>
  </si>
  <si>
    <t xml:space="preserve">48</t>
  </si>
  <si>
    <t xml:space="preserve">12</t>
  </si>
  <si>
    <t xml:space="preserve">Colab H100, vx=1.0</t>
  </si>
  <si>
    <t xml:space="preserve">Reward 27.4, walking gait confirmed</t>
  </si>
  <si>
    <t xml:space="preserve">Velocity tracking (variable speed)</t>
  </si>
  <si>
    <t xml:space="preserve">Colab H100</t>
  </si>
  <si>
    <t xml:space="preserve">Tested vx=0.5, 1.0, 1.5</t>
  </si>
  <si>
    <t xml:space="preserve">3</t>
  </si>
  <si>
    <t xml:space="preserve">Omnidirectional walk</t>
  </si>
  <si>
    <t xml:space="preserve">Colab H100, vy+yaw</t>
  </si>
  <si>
    <t xml:space="preserve">Aggressive cmd: vx=1.5, vy=0.5, yaw=1.0</t>
  </si>
  <si>
    <t xml:space="preserve">Backward walk</t>
  </si>
  <si>
    <t xml:space="preserve">🟡 Partial</t>
  </si>
  <si>
    <t xml:space="preserve">3b (eval only)</t>
  </si>
  <si>
    <t xml:space="preserve">Same policy, needs vx&lt;0 eval</t>
  </si>
  <si>
    <t xml:space="preserve">Lateral walk (L/R)</t>
  </si>
  <si>
    <t xml:space="preserve">Same policy, needs vy-only eval</t>
  </si>
  <si>
    <t xml:space="preserve">Turning in place</t>
  </si>
  <si>
    <t xml:space="preserve">Same policy, needs yaw-only eval</t>
  </si>
  <si>
    <t xml:space="preserve">Heading tracking</t>
  </si>
  <si>
    <t xml:space="preserve">Yaw command already supported</t>
  </si>
  <si>
    <t xml:space="preserve">Trotting</t>
  </si>
  <si>
    <t xml:space="preserve">7 (MoE)</t>
  </si>
  <si>
    <t xml:space="preserve">Gait cmd + vel → PD targets</t>
  </si>
  <si>
    <t xml:space="preserve">48+</t>
  </si>
  <si>
    <t xml:space="preserve">Needs gait conditioning or MoE expert</t>
  </si>
  <si>
    <t xml:space="preserve">Bounding</t>
  </si>
  <si>
    <t xml:space="preserve">Walk These Ways style</t>
  </si>
  <si>
    <t xml:space="preserve">Galloping</t>
  </si>
  <si>
    <t xml:space="preserve">11</t>
  </si>
  <si>
    <t xml:space="preserve">Pacing</t>
  </si>
  <si>
    <t xml:space="preserve">Pronking</t>
  </si>
  <si>
    <t xml:space="preserve">13</t>
  </si>
  <si>
    <t xml:space="preserve">Stair ascent</t>
  </si>
  <si>
    <t xml:space="preserve">5+6</t>
  </si>
  <si>
    <t xml:space="preserve">Vel + height scan → PD targets</t>
  </si>
  <si>
    <t xml:space="preserve">Go1/H1</t>
  </si>
  <si>
    <t xml:space="preserve">48+187</t>
  </si>
  <si>
    <t xml:space="preserve">Rough terrain env, height scan obs</t>
  </si>
  <si>
    <t xml:space="preserve">14</t>
  </si>
  <si>
    <t xml:space="preserve">Stair descent</t>
  </si>
  <si>
    <t xml:space="preserve">15</t>
  </si>
  <si>
    <t xml:space="preserve">Slope ascent</t>
  </si>
  <si>
    <t xml:space="preserve">16</t>
  </si>
  <si>
    <t xml:space="preserve">Slope descent</t>
  </si>
  <si>
    <t xml:space="preserve">17</t>
  </si>
  <si>
    <t xml:space="preserve">Step over obstacle</t>
  </si>
  <si>
    <t xml:space="preserve">Parkour-style, ETH approach</t>
  </si>
  <si>
    <t xml:space="preserve">18</t>
  </si>
  <si>
    <t xml:space="preserve">Crawling / crouching</t>
  </si>
  <si>
    <t xml:space="preserve">Vel + height cmd → PD targets</t>
  </si>
  <si>
    <t xml:space="preserve">Body height as additional command</t>
  </si>
  <si>
    <t xml:space="preserve">19</t>
  </si>
  <si>
    <t xml:space="preserve">Balance</t>
  </si>
  <si>
    <t xml:space="preserve">Static balance (flat)</t>
  </si>
  <si>
    <t xml:space="preserve">3b (implicit)</t>
  </si>
  <si>
    <t xml:space="preserve">— (emergent)</t>
  </si>
  <si>
    <t xml:space="preserve">Trained via DR, not explicitly tested</t>
  </si>
  <si>
    <t xml:space="preserve">20</t>
  </si>
  <si>
    <t xml:space="preserve">Dynamic balance (moving)</t>
  </si>
  <si>
    <t xml:space="preserve">21</t>
  </si>
  <si>
    <t xml:space="preserve">Push recovery (lateral)</t>
  </si>
  <si>
    <t xml:space="preserve">— (emergent from DR)</t>
  </si>
  <si>
    <t xml:space="preserve">Needs push perturbation eval</t>
  </si>
  <si>
    <t xml:space="preserve">22</t>
  </si>
  <si>
    <t xml:space="preserve">Push recovery (frontal)</t>
  </si>
  <si>
    <t xml:space="preserve">23</t>
  </si>
  <si>
    <t xml:space="preserve">Push recovery (rear)</t>
  </si>
  <si>
    <t xml:space="preserve">24</t>
  </si>
  <si>
    <t xml:space="preserve">Fall prevention</t>
  </si>
  <si>
    <t xml:space="preserve">Body CBF (roll/pitch limit)</t>
  </si>
  <si>
    <t xml:space="preserve">Phase 5 body-level CBF</t>
  </si>
  <si>
    <t xml:space="preserve">25</t>
  </si>
  <si>
    <t xml:space="preserve">Fall recovery (prone)</t>
  </si>
  <si>
    <t xml:space="preserve">6+7</t>
  </si>
  <si>
    <t xml:space="preserve">Orientation → standup torques</t>
  </si>
  <si>
    <t xml:space="preserve">H1</t>
  </si>
  <si>
    <t xml:space="preserve">19+</t>
  </si>
  <si>
    <t xml:space="preserve">Humanoid standup task</t>
  </si>
  <si>
    <t xml:space="preserve">26</t>
  </si>
  <si>
    <t xml:space="preserve">Fall recovery (supine)</t>
  </si>
  <si>
    <t xml:space="preserve">27</t>
  </si>
  <si>
    <t xml:space="preserve">Single-leg balance</t>
  </si>
  <si>
    <t xml:space="preserve">28</t>
  </si>
  <si>
    <t xml:space="preserve">Balance on uneven terrain</t>
  </si>
  <si>
    <t xml:space="preserve">Proprioception → reactive</t>
  </si>
  <si>
    <t xml:space="preserve">Rough terrain env</t>
  </si>
  <si>
    <t xml:space="preserve">29</t>
  </si>
  <si>
    <t xml:space="preserve">Balance under payload</t>
  </si>
  <si>
    <t xml:space="preserve">5+7</t>
  </si>
  <si>
    <t xml:space="preserve">— (CfC adapts via h)</t>
  </si>
  <si>
    <t xml:space="preserve">RMA-style adaptation</t>
  </si>
  <si>
    <t xml:space="preserve">30</t>
  </si>
  <si>
    <t xml:space="preserve">Balance during manipulation</t>
  </si>
  <si>
    <t xml:space="preserve">Whole-body coordination</t>
  </si>
  <si>
    <t xml:space="preserve">31</t>
  </si>
  <si>
    <t xml:space="preserve">Posture</t>
  </si>
  <si>
    <t xml:space="preserve">Stand from sit</t>
  </si>
  <si>
    <t xml:space="preserve">Posture cmd → joint trajectory</t>
  </si>
  <si>
    <t xml:space="preserve">Humanoid only</t>
  </si>
  <si>
    <t xml:space="preserve">32</t>
  </si>
  <si>
    <t xml:space="preserve">Sit from stand</t>
  </si>
  <si>
    <t xml:space="preserve">33</t>
  </si>
  <si>
    <t xml:space="preserve">Crouch</t>
  </si>
  <si>
    <t xml:space="preserve">Height cmd → PD targets</t>
  </si>
  <si>
    <t xml:space="preserve">Body height as command</t>
  </si>
  <si>
    <t xml:space="preserve">34</t>
  </si>
  <si>
    <t xml:space="preserve">Kneel</t>
  </si>
  <si>
    <t xml:space="preserve">35</t>
  </si>
  <si>
    <t xml:space="preserve">Lean (fwd/bwd/lateral)</t>
  </si>
  <si>
    <t xml:space="preserve">Torso orient cmd → PD targets</t>
  </si>
  <si>
    <t xml:space="preserve">36</t>
  </si>
  <si>
    <t xml:space="preserve">Torso orientation control</t>
  </si>
  <si>
    <t xml:space="preserve">37</t>
  </si>
  <si>
    <t xml:space="preserve">Height adjustment</t>
  </si>
  <si>
    <t xml:space="preserve">38</t>
  </si>
  <si>
    <t xml:space="preserve">Weight shifting</t>
  </si>
  <si>
    <t xml:space="preserve">CoM cmd → PD targets</t>
  </si>
  <si>
    <t xml:space="preserve">39</t>
  </si>
  <si>
    <t xml:space="preserve">Manipulation</t>
  </si>
  <si>
    <t xml:space="preserve">End-effector position tracking</t>
  </si>
  <si>
    <t xml:space="preserve">6+9</t>
  </si>
  <si>
    <t xml:space="preserve">EE pos cmd → arm torques</t>
  </si>
  <si>
    <t xml:space="preserve">Requires H1 arms</t>
  </si>
  <si>
    <t xml:space="preserve">40</t>
  </si>
  <si>
    <t xml:space="preserve">End-effector orientation tracking</t>
  </si>
  <si>
    <t xml:space="preserve">EE orient cmd → arm torques</t>
  </si>
  <si>
    <t xml:space="preserve">41</t>
  </si>
  <si>
    <t xml:space="preserve">6DOF pose tracking</t>
  </si>
  <si>
    <t xml:space="preserve">EE pose cmd → arm torques</t>
  </si>
  <si>
    <t xml:space="preserve">42</t>
  </si>
  <si>
    <t xml:space="preserve">Force-controlled contact</t>
  </si>
  <si>
    <t xml:space="preserve">Force cmd → impedance</t>
  </si>
  <si>
    <t xml:space="preserve">48+F</t>
  </si>
  <si>
    <t xml:space="preserve">19+K</t>
  </si>
  <si>
    <t xml:space="preserve">Requires force sensing</t>
  </si>
  <si>
    <t xml:space="preserve">43</t>
  </si>
  <si>
    <t xml:space="preserve">Compliant insertion</t>
  </si>
  <si>
    <t xml:space="preserve">Pose + compliance → torques</t>
  </si>
  <si>
    <t xml:space="preserve">Peg-in-hole style</t>
  </si>
  <si>
    <t xml:space="preserve">44</t>
  </si>
  <si>
    <t xml:space="preserve">Object handover</t>
  </si>
  <si>
    <t xml:space="preserve">Grasp cmd + release trigger</t>
  </si>
  <si>
    <t xml:space="preserve">25+</t>
  </si>
  <si>
    <t xml:space="preserve">Requires hands</t>
  </si>
  <si>
    <t xml:space="preserve">45</t>
  </si>
  <si>
    <t xml:space="preserve">Bimanual coordination</t>
  </si>
  <si>
    <t xml:space="preserve">Dual EE cmd → both arms</t>
  </si>
  <si>
    <t xml:space="preserve">46</t>
  </si>
  <si>
    <t xml:space="preserve">Pinch grip</t>
  </si>
  <si>
    <t xml:space="preserve">Grip cmd → finger torques</t>
  </si>
  <si>
    <t xml:space="preserve">H1+hands</t>
  </si>
  <si>
    <t xml:space="preserve">48+T</t>
  </si>
  <si>
    <t xml:space="preserve">Dexterous hand required</t>
  </si>
  <si>
    <t xml:space="preserve">47</t>
  </si>
  <si>
    <t xml:space="preserve">Power grip</t>
  </si>
  <si>
    <t xml:space="preserve">Precision placement</t>
  </si>
  <si>
    <t xml:space="preserve">Place cmd → arm+finger</t>
  </si>
  <si>
    <t xml:space="preserve">49</t>
  </si>
  <si>
    <t xml:space="preserve">Finger-spread grasp</t>
  </si>
  <si>
    <t xml:space="preserve">50</t>
  </si>
  <si>
    <t xml:space="preserve">In-hand rotation</t>
  </si>
  <si>
    <t xml:space="preserve">7+9</t>
  </si>
  <si>
    <t xml:space="preserve">Rotate cmd → finger torques</t>
  </si>
  <si>
    <t xml:space="preserve">Most difficult manipulation</t>
  </si>
  <si>
    <t xml:space="preserve">51</t>
  </si>
  <si>
    <t xml:space="preserve">Tool use</t>
  </si>
  <si>
    <t xml:space="preserve">Tool cmd → arm+grip</t>
  </si>
  <si>
    <t xml:space="preserve">Sustained grip + arm motion</t>
  </si>
  <si>
    <t xml:space="preserve">52</t>
  </si>
  <si>
    <t xml:space="preserve">Carrying while walking</t>
  </si>
  <si>
    <t xml:space="preserve">Vel + carry cmd → whole body</t>
  </si>
  <si>
    <t xml:space="preserve">Loco-manipulation</t>
  </si>
  <si>
    <t xml:space="preserve">53</t>
  </si>
  <si>
    <t xml:space="preserve">Finger dexterity</t>
  </si>
  <si>
    <t xml:space="preserve">Finger cmd → finger torques</t>
  </si>
  <si>
    <t xml:space="preserve">12-16</t>
  </si>
  <si>
    <t xml:space="preserve">Shadow/Allegro/LEAP hand</t>
  </si>
  <si>
    <t xml:space="preserve">54</t>
  </si>
  <si>
    <t xml:space="preserve">Compliance</t>
  </si>
  <si>
    <t xml:space="preserve">Variable stiffness control</t>
  </si>
  <si>
    <t xml:space="preserve">Kp/Kd cmd → variable PD</t>
  </si>
  <si>
    <t xml:space="preserve">19+19</t>
  </si>
  <si>
    <t xml:space="preserve">Policy outputs (q_target, Kp, Kd)</t>
  </si>
  <si>
    <t xml:space="preserve">55</t>
  </si>
  <si>
    <t xml:space="preserve">Impedance mode transitions</t>
  </si>
  <si>
    <t xml:space="preserve">Mode cmd → Kp/Kd schedule</t>
  </si>
  <si>
    <t xml:space="preserve">Stiff → soft transition</t>
  </si>
  <si>
    <t xml:space="preserve">56</t>
  </si>
  <si>
    <t xml:space="preserve">Compliant surface interaction</t>
  </si>
  <si>
    <t xml:space="preserve">Force + compliance → torques</t>
  </si>
  <si>
    <t xml:space="preserve">57</t>
  </si>
  <si>
    <t xml:space="preserve">Force limiting</t>
  </si>
  <si>
    <t xml:space="preserve">4+9</t>
  </si>
  <si>
    <t xml:space="preserve">CBF on contact forces</t>
  </si>
  <si>
    <t xml:space="preserve">CBF extension for force limits</t>
  </si>
  <si>
    <t xml:space="preserve">58</t>
  </si>
  <si>
    <t xml:space="preserve">Passive dynamics mode</t>
  </si>
  <si>
    <t xml:space="preserve">Zero Kp → gravity comp only</t>
  </si>
  <si>
    <t xml:space="preserve">59</t>
  </si>
  <si>
    <t xml:space="preserve">Whole-Body</t>
  </si>
  <si>
    <t xml:space="preserve">Walk + reach</t>
  </si>
  <si>
    <t xml:space="preserve">Vel + EE cmd → whole body</t>
  </si>
  <si>
    <t xml:space="preserve">Unified loco-manipulation policy</t>
  </si>
  <si>
    <t xml:space="preserve">60</t>
  </si>
  <si>
    <t xml:space="preserve">Walk + carry</t>
  </si>
  <si>
    <t xml:space="preserve">Vel + carry → whole body</t>
  </si>
  <si>
    <t xml:space="preserve">61</t>
  </si>
  <si>
    <t xml:space="preserve">Stand + manipulate</t>
  </si>
  <si>
    <t xml:space="preserve">Stand + EE cmd → whole body</t>
  </si>
  <si>
    <t xml:space="preserve">62</t>
  </si>
  <si>
    <t xml:space="preserve">Crouch + reach</t>
  </si>
  <si>
    <t xml:space="preserve">Crouch + EE → whole body</t>
  </si>
  <si>
    <t xml:space="preserve">63</t>
  </si>
  <si>
    <t xml:space="preserve">Multi-limb coordination</t>
  </si>
  <si>
    <t xml:space="preserve">Multi-target → all limbs</t>
  </si>
  <si>
    <t xml:space="preserve">64</t>
  </si>
  <si>
    <t xml:space="preserve">Robustness</t>
  </si>
  <si>
    <t xml:space="preserve">Mass variation tolerance</t>
  </si>
  <si>
    <t xml:space="preserve">3b (DR)</t>
  </si>
  <si>
    <t xml:space="preserve">— (training condition)</t>
  </si>
  <si>
    <t xml:space="preserve">MuJoCo Playground default DR</t>
  </si>
  <si>
    <t xml:space="preserve">65</t>
  </si>
  <si>
    <t xml:space="preserve">Friction variation tolerance</t>
  </si>
  <si>
    <t xml:space="preserve">66</t>
  </si>
  <si>
    <t xml:space="preserve">Motor degradation tolerance</t>
  </si>
  <si>
    <t xml:space="preserve">7 (DR)</t>
  </si>
  <si>
    <t xml:space="preserve">Needs explicit motor strength DR</t>
  </si>
  <si>
    <t xml:space="preserve">67</t>
  </si>
  <si>
    <t xml:space="preserve">Sensor noise tolerance</t>
  </si>
  <si>
    <t xml:space="preserve">Default obs noise in playground</t>
  </si>
  <si>
    <t xml:space="preserve">68</t>
  </si>
  <si>
    <t xml:space="preserve">Latency tolerance</t>
  </si>
  <si>
    <t xml:space="preserve">Random action delay injection</t>
  </si>
  <si>
    <t xml:space="preserve">69</t>
  </si>
  <si>
    <t xml:space="preserve">External disturbance rejection</t>
  </si>
  <si>
    <t xml:space="preserve">Push perturbation eval</t>
  </si>
  <si>
    <t xml:space="preserve">70</t>
  </si>
  <si>
    <t xml:space="preserve">Terrain variation adaptation</t>
  </si>
  <si>
    <t xml:space="preserve">— (CfC h adapts)</t>
  </si>
  <si>
    <t xml:space="preserve">71</t>
  </si>
  <si>
    <t xml:space="preserve">Actuator backlash compensation</t>
  </si>
  <si>
    <t xml:space="preserve">72</t>
  </si>
  <si>
    <t xml:space="preserve">SOMA-Only</t>
  </si>
  <si>
    <t xml:space="preserve">O(1) bounded inference</t>
  </si>
  <si>
    <t xml:space="preserve">1+3a</t>
  </si>
  <si>
    <t xml:space="preserve">CfC architecture</t>
  </si>
  <si>
    <t xml:space="preserve">All</t>
  </si>
  <si>
    <t xml:space="preserve">Phase 1 unit tests</t>
  </si>
  <si>
    <t xml:space="preserve">CfC is constant-time by design</t>
  </si>
  <si>
    <t xml:space="preserve">73</t>
  </si>
  <si>
    <t xml:space="preserve">WCET = BCET (no branching)</t>
  </si>
  <si>
    <t xml:space="preserve">CBF architecture</t>
  </si>
  <si>
    <t xml:space="preserve">Phase 4 timing</t>
  </si>
  <si>
    <t xml:space="preserve">No conditionals in compiled CBF</t>
  </si>
  <si>
    <t xml:space="preserve">74</t>
  </si>
  <si>
    <t xml:space="preserve">CBF safety certificate</t>
  </si>
  <si>
    <t xml:space="preserve">0th-order CBF proven</t>
  </si>
  <si>
    <t xml:space="preserve">7/7 tests, 84kHz</t>
  </si>
  <si>
    <t xml:space="preserve">q_target ∈ [q_min, q_max] ∀ inputs</t>
  </si>
  <si>
    <t xml:space="preserve">75</t>
  </si>
  <si>
    <t xml:space="preserve">Frequency invariance</t>
  </si>
  <si>
    <t xml:space="preserve">CfC Δt parameter</t>
  </si>
  <si>
    <t xml:space="preserve">CfC supports Δt, not tested across freqs</t>
  </si>
  <si>
    <t xml:space="preserve">76</t>
  </si>
  <si>
    <t xml:space="preserve">Zero-shot URDF transfer</t>
  </si>
  <si>
    <t xml:space="preserve">Robot descriptor conditioning</t>
  </si>
  <si>
    <t xml:space="preserve">A1, Cassie</t>
  </si>
  <si>
    <t xml:space="preserve">77</t>
  </si>
  <si>
    <t xml:space="preserve">Cross-robot generalization</t>
  </si>
  <si>
    <t xml:space="preserve">MoE gate routing</t>
  </si>
  <si>
    <t xml:space="preserve">78</t>
  </si>
  <si>
    <t xml:space="preserve">MoE expert interpretability</t>
  </si>
  <si>
    <t xml:space="preserve">Gate weight analysis</t>
  </si>
  <si>
    <t xml:space="preserve">Which expert handles which task</t>
  </si>
  <si>
    <t xml:space="preserve">79</t>
  </si>
  <si>
    <t xml:space="preserve">Sub-500KB / CPU-only</t>
  </si>
  <si>
    <t xml:space="preserve">INT8 + AOT export</t>
  </si>
  <si>
    <t xml:space="preserve">Target: 244KB INT8, ARM Cortex</t>
  </si>
  <si>
    <t xml:space="preserve">SOMA v13 — Progress Dashboard</t>
  </si>
  <si>
    <t xml:space="preserve">Overall Progress</t>
  </si>
  <si>
    <t xml:space="preserve">Count</t>
  </si>
  <si>
    <t xml:space="preserve">% of Total</t>
  </si>
  <si>
    <t xml:space="preserve">Total</t>
  </si>
  <si>
    <t xml:space="preserve">Progress by Category</t>
  </si>
  <si>
    <t xml:space="preserve">Done</t>
  </si>
  <si>
    <t xml:space="preserve">Partial</t>
  </si>
  <si>
    <t xml:space="preserve">Todo</t>
  </si>
  <si>
    <t xml:space="preserve">% Complete</t>
  </si>
  <si>
    <t xml:space="preserve">Key Metrics Achieved</t>
  </si>
  <si>
    <t xml:space="preserve">Metric</t>
  </si>
  <si>
    <t xml:space="preserve">Value</t>
  </si>
  <si>
    <t xml:space="preserve">Significance</t>
  </si>
  <si>
    <t xml:space="preserve">CfC vs MLP reward</t>
  </si>
  <si>
    <t xml:space="preserve">2.38x (27.4 vs 11.5)</t>
  </si>
  <si>
    <t xml:space="preserve">CBF unit tests</t>
  </si>
  <si>
    <t xml:space="preserve">7/7 passing</t>
  </si>
  <si>
    <t xml:space="preserve">Provable safety certificate</t>
  </si>
  <si>
    <t xml:space="preserve">CBF throughput (compiled)</t>
  </si>
  <si>
    <t xml:space="preserve">84 kHz</t>
  </si>
  <si>
    <t xml:space="preserve">8.4x over 10kHz requirement</t>
  </si>
  <si>
    <t xml:space="preserve">CBF batch throughput</t>
  </si>
  <si>
    <t xml:space="preserve">1.13B calls/sec</t>
  </si>
  <si>
    <t xml:space="preserve">Training-scale safety</t>
  </si>
  <si>
    <t xml:space="preserve">Reward loss (CBF on)</t>
  </si>
  <si>
    <t xml:space="preserve">0% forward, 1.1% aggressive</t>
  </si>
  <si>
    <t xml:space="preserve">Zero performance degradation</t>
  </si>
  <si>
    <t xml:space="preserve">CBF compute per env</t>
  </si>
  <si>
    <t xml:space="preserve">0.01 μs</t>
  </si>
  <si>
    <t xml:space="preserve">10,000x headroom for 10kHz</t>
  </si>
  <si>
    <t xml:space="preserve">Real joint inertia M</t>
  </si>
  <si>
    <t xml:space="preserve">0.023 kg·m²</t>
  </si>
  <si>
    <t xml:space="preserve">4b</t>
  </si>
  <si>
    <t xml:space="preserve">Discovered M_EFF was 26x wrong</t>
  </si>
  <si>
    <t xml:space="preserve">Policy inference + CBF</t>
  </si>
  <si>
    <t xml:space="preserve">&lt; 1 μs total</t>
  </si>
  <si>
    <t xml:space="preserve">3+4</t>
  </si>
  <si>
    <t xml:space="preserve">Real-time on any hardware</t>
  </si>
  <si>
    <t xml:space="preserve">Pattern #</t>
  </si>
  <si>
    <t xml:space="preserve">Command Input</t>
  </si>
  <si>
    <t xml:space="preserve">Observation</t>
  </si>
  <si>
    <t xml:space="preserve">Action Output</t>
  </si>
  <si>
    <t xml:space="preserve">Capabilities Covered</t>
  </si>
  <si>
    <t xml:space="preserve">P1</t>
  </si>
  <si>
    <t xml:space="preserve">Velocity Locomotion</t>
  </si>
  <si>
    <t xml:space="preserve">vx, vy, yaw_rate (3D)</t>
  </si>
  <si>
    <t xml:space="preserve">q_rel(12), qdot(12), gravity(3), gyro(3), prev_action(12), cmd(3), phase(2)=~48D</t>
  </si>
  <si>
    <t xml:space="preserve">PD targets (12D)</t>
  </si>
  <si>
    <t xml:space="preserve">Forward/back/lateral walk, turning, velocity tracking, heading, omnidirectional (8 capabilities)</t>
  </si>
  <si>
    <t xml:space="preserve">✅ Proven</t>
  </si>
  <si>
    <t xml:space="preserve">P2</t>
  </si>
  <si>
    <t xml:space="preserve">Gait-Conditioned Locomotion</t>
  </si>
  <si>
    <t xml:space="preserve">vx, vy, yaw + gait_params(8D)</t>
  </si>
  <si>
    <t xml:space="preserve">P1 obs + gait_phase(2), gait_freq(1)=~51D</t>
  </si>
  <si>
    <t xml:space="preserve">Trot, bound, gallop, pace, pronk (5 capabilities)</t>
  </si>
  <si>
    <t xml:space="preserve">P3</t>
  </si>
  <si>
    <t xml:space="preserve">Terrain Locomotion</t>
  </si>
  <si>
    <t xml:space="preserve">vx, vy, yaw (3D)</t>
  </si>
  <si>
    <t xml:space="preserve">P1 obs + height_scan(187D)=~235D</t>
  </si>
  <si>
    <t xml:space="preserve">Stairs, slopes, obstacles, uneven terrain (6 capabilities)</t>
  </si>
  <si>
    <t xml:space="preserve">P4</t>
  </si>
  <si>
    <t xml:space="preserve">Posture Control</t>
  </si>
  <si>
    <t xml:space="preserve">body_height, torso_rpy (4D)</t>
  </si>
  <si>
    <t xml:space="preserve">P1 obs + body_pose(6D)=~54D</t>
  </si>
  <si>
    <t xml:space="preserve">PD targets (12-19D)</t>
  </si>
  <si>
    <t xml:space="preserve">Crouch, lean, height adjust, weight shift, stand/sit (8 capabilities)</t>
  </si>
  <si>
    <t xml:space="preserve">P5</t>
  </si>
  <si>
    <t xml:space="preserve">Balance / Recovery</t>
  </si>
  <si>
    <t xml:space="preserve">— (reactive, no explicit cmd)</t>
  </si>
  <si>
    <t xml:space="preserve">P1 obs + contact_forces(12D)=~60D</t>
  </si>
  <si>
    <t xml:space="preserve">Push recovery, fall prevention, single-leg, payload balance (10 capabilities)</t>
  </si>
  <si>
    <t xml:space="preserve">🟡 Implicit</t>
  </si>
  <si>
    <t xml:space="preserve">P6</t>
  </si>
  <si>
    <t xml:space="preserve">Arm Manipulation</t>
  </si>
  <si>
    <t xml:space="preserve">EE_pose_target (6D) + grip_cmd (1D)</t>
  </si>
  <si>
    <t xml:space="preserve">P1 obs + arm_q(7D), arm_qdot(7D), EE_pos(3D), EE_force(3D)=~68D</t>
  </si>
  <si>
    <t xml:space="preserve">Arm torques or PD (7-19D)</t>
  </si>
  <si>
    <t xml:space="preserve">EE tracking, force contact, insertion, handover (7 capabilities)</t>
  </si>
  <si>
    <t xml:space="preserve">P7</t>
  </si>
  <si>
    <t xml:space="preserve">Dexterous Hand</t>
  </si>
  <si>
    <t xml:space="preserve">grip_type(1D) + finger_targets(16D)</t>
  </si>
  <si>
    <t xml:space="preserve">P6 obs + finger_q(16D), finger_qdot(16D), tactile(~48D)=~148D</t>
  </si>
  <si>
    <t xml:space="preserve">Finger torques (16D)</t>
  </si>
  <si>
    <t xml:space="preserve">Pinch, power grip, in-hand rotation, tool use (7 capabilities)</t>
  </si>
  <si>
    <t xml:space="preserve">P8</t>
  </si>
  <si>
    <t xml:space="preserve">Loco-Manipulation</t>
  </si>
  <si>
    <t xml:space="preserve">vel(3D) + EE_target(6D) + grip(1D)</t>
  </si>
  <si>
    <t xml:space="preserve">P1 + P6 obs combined=~80D</t>
  </si>
  <si>
    <t xml:space="preserve">Whole-body (19-25D)</t>
  </si>
  <si>
    <t xml:space="preserve">Walk+reach, walk+carry, stand+manipulate (5 capabilities)</t>
  </si>
  <si>
    <t xml:space="preserve">P9</t>
  </si>
  <si>
    <t xml:space="preserve">Variable Impedance</t>
  </si>
  <si>
    <t xml:space="preserve">q_target(ND) + Kp(ND) + Kd(ND)</t>
  </si>
  <si>
    <t xml:space="preserve">P1 obs + contact_forces=~60D</t>
  </si>
  <si>
    <t xml:space="preserve">q_target + Kp + Kd (3×N D)</t>
  </si>
  <si>
    <t xml:space="preserve">Variable stiffness, compliance, force limiting (5 capabilities)</t>
  </si>
  <si>
    <t xml:space="preserve">P10</t>
  </si>
  <si>
    <t xml:space="preserve">Robustness (DR)</t>
  </si>
  <si>
    <t xml:space="preserve">— (training condition, not I/O)</t>
  </si>
  <si>
    <t xml:space="preserve">Standard obs (varies by task)</t>
  </si>
  <si>
    <t xml:space="preserve">Standard action (varies)</t>
  </si>
  <si>
    <t xml:space="preserve">Mass/friction/motor/sensor/latency tolerance (8 capabilities)</t>
  </si>
  <si>
    <t xml:space="preserve">P11</t>
  </si>
  <si>
    <t xml:space="preserve">SOMA Properties</t>
  </si>
  <si>
    <t xml:space="preserve">— (architectural, not I/O)</t>
  </si>
  <si>
    <t xml:space="preserve">O(1), WCET, CBF, freq invariance, transfer, deploy (8 capabilities)</t>
  </si>
  <si>
    <t xml:space="preserve">Gate</t>
  </si>
  <si>
    <t xml:space="preserve">Phases Required</t>
  </si>
  <si>
    <t xml:space="preserve">Capabilities Unlocked</t>
  </si>
  <si>
    <t xml:space="preserve">Effort Estimate</t>
  </si>
  <si>
    <t xml:space="preserve">Dependencies</t>
  </si>
  <si>
    <t xml:space="preserve">Priority</t>
  </si>
  <si>
    <t xml:space="preserve">G1</t>
  </si>
  <si>
    <t xml:space="preserve">Multi-Terrain Locomotion</t>
  </si>
  <si>
    <t xml:space="preserve">5 (Body CBFs)</t>
  </si>
  <si>
    <t xml:space="preserve">Stairs, slopes, obstacles, crawl, terrain balance, push recovery, posture basics</t>
  </si>
  <si>
    <t xml:space="preserve">~15</t>
  </si>
  <si>
    <t xml:space="preserve">2-3 days (training runs)</t>
  </si>
  <si>
    <t xml:space="preserve">Rough terrain env setup</t>
  </si>
  <si>
    <t xml:space="preserve">HIGH — demo impact</t>
  </si>
  <si>
    <t xml:space="preserve">G2</t>
  </si>
  <si>
    <t xml:space="preserve">Multi-Robot + MoE</t>
  </si>
  <si>
    <t xml:space="preserve">6 + 7</t>
  </si>
  <si>
    <t xml:space="preserve">Cross-robot transfer, multi-gait, MoE interpretability, fall recovery</t>
  </si>
  <si>
    <t xml:space="preserve">~12</t>
  </si>
  <si>
    <t xml:space="preserve">1-2 weeks</t>
  </si>
  <si>
    <t xml:space="preserve">H1 env, MoE architecture</t>
  </si>
  <si>
    <t xml:space="preserve">HIGH — investor story</t>
  </si>
  <si>
    <t xml:space="preserve">G3</t>
  </si>
  <si>
    <t xml:space="preserve">Humanoid Manipulation</t>
  </si>
  <si>
    <t xml:space="preserve">6 + 9</t>
  </si>
  <si>
    <t xml:space="preserve">All 15 manipulation, 5 compliance, 5 whole-body, H1 torque CBF</t>
  </si>
  <si>
    <t xml:space="preserve">~30</t>
  </si>
  <si>
    <t xml:space="preserve">3-4 weeks</t>
  </si>
  <si>
    <t xml:space="preserve">H1 hands, force sensing, torque control</t>
  </si>
  <si>
    <t xml:space="preserve">MEDIUM — biggest capability gap</t>
  </si>
  <si>
    <t xml:space="preserve">G4</t>
  </si>
  <si>
    <t xml:space="preserve">Deployment Package</t>
  </si>
  <si>
    <t xml:space="preserve">Freq invariance, sub-500KB, CPU-only, full DR validation</t>
  </si>
  <si>
    <t xml:space="preserve">~10</t>
  </si>
  <si>
    <t xml:space="preserve">1 week</t>
  </si>
  <si>
    <t xml:space="preserve">Stable policy from G1-G3</t>
  </si>
  <si>
    <t xml:space="preserve">HIGH — demo ready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</si>
</sst>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F2937"/>
      <name val="Arial"/>
      <family val="0"/>
      <charset val="1"/>
    </font>
    <font>
      <b val="true"/>
      <sz val="13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D1FAE5"/>
        <bgColor rgb="FFCCFFFF"/>
      </patternFill>
    </fill>
    <fill>
      <patternFill patternType="solid">
        <fgColor rgb="FFFEE2E2"/>
        <bgColor rgb="FFFEF3C7"/>
      </patternFill>
    </fill>
    <fill>
      <patternFill patternType="solid">
        <fgColor rgb="FFFEF3C7"/>
        <bgColor rgb="FFFEE2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59E0B"/>
      <rgbColor rgb="FFEF4444"/>
      <rgbColor rgb="FF666699"/>
      <rgbColor rgb="FF969696"/>
      <rgbColor rgb="FF003366"/>
      <rgbColor rgb="FF10B981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937"/>
    <pageSetUpPr fitToPage="false"/>
  </sheetPr>
  <dimension ref="A1:I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35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30"/>
    <col collapsed="false" customWidth="true" hidden="false" outlineLevel="0" max="9" min="9" style="0" width="4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customFormat="false" ht="23.85" hidden="false" customHeight="false" outlineLevel="0" collapsed="false">
      <c r="A3" s="2" t="s">
        <v>18</v>
      </c>
      <c r="B3" s="3" t="s">
        <v>19</v>
      </c>
      <c r="C3" s="3" t="s">
        <v>11</v>
      </c>
      <c r="D3" s="3" t="s">
        <v>20</v>
      </c>
      <c r="E3" s="3" t="s">
        <v>21</v>
      </c>
      <c r="F3" s="3" t="s">
        <v>22</v>
      </c>
      <c r="G3" s="3" t="s">
        <v>15</v>
      </c>
      <c r="H3" s="3" t="s">
        <v>23</v>
      </c>
      <c r="I3" s="3" t="s">
        <v>24</v>
      </c>
    </row>
    <row r="4" customFormat="false" ht="15" hidden="false" customHeight="false" outlineLevel="0" collapsed="false">
      <c r="A4" s="2" t="s">
        <v>25</v>
      </c>
      <c r="B4" s="3" t="s">
        <v>26</v>
      </c>
      <c r="C4" s="3" t="s">
        <v>11</v>
      </c>
      <c r="D4" s="3" t="s">
        <v>27</v>
      </c>
      <c r="E4" s="3" t="s">
        <v>28</v>
      </c>
      <c r="F4" s="3" t="s">
        <v>29</v>
      </c>
      <c r="G4" s="3" t="s">
        <v>15</v>
      </c>
      <c r="H4" s="3" t="s">
        <v>30</v>
      </c>
      <c r="I4" s="3" t="s">
        <v>31</v>
      </c>
    </row>
    <row r="5" customFormat="false" ht="15" hidden="false" customHeight="false" outlineLevel="0" collapsed="false">
      <c r="A5" s="2" t="s">
        <v>32</v>
      </c>
      <c r="B5" s="3" t="s">
        <v>33</v>
      </c>
      <c r="C5" s="3" t="s">
        <v>11</v>
      </c>
      <c r="D5" s="3" t="s">
        <v>34</v>
      </c>
      <c r="E5" s="3" t="s">
        <v>21</v>
      </c>
      <c r="F5" s="3" t="s">
        <v>35</v>
      </c>
      <c r="G5" s="3" t="s">
        <v>15</v>
      </c>
      <c r="H5" s="3" t="s">
        <v>36</v>
      </c>
      <c r="I5" s="3" t="s">
        <v>37</v>
      </c>
    </row>
    <row r="6" customFormat="false" ht="23.85" hidden="false" customHeight="false" outlineLevel="0" collapsed="false">
      <c r="A6" s="2" t="s">
        <v>38</v>
      </c>
      <c r="B6" s="3" t="s">
        <v>39</v>
      </c>
      <c r="C6" s="3" t="s">
        <v>11</v>
      </c>
      <c r="D6" s="3" t="s">
        <v>40</v>
      </c>
      <c r="E6" s="3" t="s">
        <v>41</v>
      </c>
      <c r="F6" s="3" t="s">
        <v>42</v>
      </c>
      <c r="G6" s="3" t="s">
        <v>15</v>
      </c>
      <c r="H6" s="3" t="s">
        <v>43</v>
      </c>
      <c r="I6" s="3" t="s">
        <v>44</v>
      </c>
    </row>
    <row r="7" customFormat="false" ht="23.85" hidden="false" customHeight="false" outlineLevel="0" collapsed="false">
      <c r="A7" s="4" t="s">
        <v>45</v>
      </c>
      <c r="B7" s="5" t="s">
        <v>46</v>
      </c>
      <c r="C7" s="5" t="s">
        <v>47</v>
      </c>
      <c r="D7" s="5" t="s">
        <v>48</v>
      </c>
      <c r="E7" s="5" t="s">
        <v>49</v>
      </c>
      <c r="F7" s="5" t="s">
        <v>15</v>
      </c>
      <c r="G7" s="5" t="s">
        <v>50</v>
      </c>
      <c r="H7" s="5" t="s">
        <v>15</v>
      </c>
      <c r="I7" s="5" t="s">
        <v>51</v>
      </c>
    </row>
    <row r="8" customFormat="false" ht="23.85" hidden="false" customHeight="false" outlineLevel="0" collapsed="false">
      <c r="A8" s="4" t="s">
        <v>52</v>
      </c>
      <c r="B8" s="5" t="s">
        <v>53</v>
      </c>
      <c r="C8" s="5" t="s">
        <v>47</v>
      </c>
      <c r="D8" s="5" t="s">
        <v>54</v>
      </c>
      <c r="E8" s="5" t="s">
        <v>55</v>
      </c>
      <c r="F8" s="5" t="s">
        <v>15</v>
      </c>
      <c r="G8" s="5" t="s">
        <v>56</v>
      </c>
      <c r="H8" s="5" t="s">
        <v>15</v>
      </c>
      <c r="I8" s="5" t="s">
        <v>57</v>
      </c>
    </row>
    <row r="9" customFormat="false" ht="23.85" hidden="false" customHeight="false" outlineLevel="0" collapsed="false">
      <c r="A9" s="4" t="s">
        <v>58</v>
      </c>
      <c r="B9" s="5" t="s">
        <v>59</v>
      </c>
      <c r="C9" s="5" t="s">
        <v>47</v>
      </c>
      <c r="D9" s="5" t="s">
        <v>60</v>
      </c>
      <c r="E9" s="5" t="s">
        <v>61</v>
      </c>
      <c r="F9" s="5" t="s">
        <v>15</v>
      </c>
      <c r="G9" s="5" t="s">
        <v>62</v>
      </c>
      <c r="H9" s="5" t="s">
        <v>15</v>
      </c>
      <c r="I9" s="5" t="s">
        <v>63</v>
      </c>
    </row>
    <row r="10" customFormat="false" ht="15" hidden="false" customHeight="false" outlineLevel="0" collapsed="false">
      <c r="A10" s="4" t="s">
        <v>64</v>
      </c>
      <c r="B10" s="5" t="s">
        <v>65</v>
      </c>
      <c r="C10" s="5" t="s">
        <v>47</v>
      </c>
      <c r="D10" s="5" t="s">
        <v>66</v>
      </c>
      <c r="E10" s="5" t="s">
        <v>67</v>
      </c>
      <c r="F10" s="5" t="s">
        <v>15</v>
      </c>
      <c r="G10" s="5" t="s">
        <v>68</v>
      </c>
      <c r="H10" s="5" t="s">
        <v>15</v>
      </c>
      <c r="I10" s="5" t="s">
        <v>69</v>
      </c>
    </row>
    <row r="11" customFormat="false" ht="15" hidden="false" customHeight="false" outlineLevel="0" collapsed="false">
      <c r="A11" s="4" t="s">
        <v>70</v>
      </c>
      <c r="B11" s="5" t="s">
        <v>71</v>
      </c>
      <c r="C11" s="5" t="s">
        <v>47</v>
      </c>
      <c r="D11" s="5" t="s">
        <v>72</v>
      </c>
      <c r="E11" s="5" t="s">
        <v>73</v>
      </c>
      <c r="F11" s="5" t="s">
        <v>15</v>
      </c>
      <c r="G11" s="5" t="s">
        <v>74</v>
      </c>
      <c r="H11" s="5" t="s">
        <v>15</v>
      </c>
      <c r="I11" s="5" t="s">
        <v>75</v>
      </c>
    </row>
    <row r="12" customFormat="false" ht="15" hidden="false" customHeight="false" outlineLevel="0" collapsed="false">
      <c r="A12" s="4" t="s">
        <v>76</v>
      </c>
      <c r="B12" s="5" t="s">
        <v>77</v>
      </c>
      <c r="C12" s="5" t="s">
        <v>47</v>
      </c>
      <c r="D12" s="5" t="s">
        <v>78</v>
      </c>
      <c r="E12" s="5" t="s">
        <v>79</v>
      </c>
      <c r="F12" s="5" t="s">
        <v>15</v>
      </c>
      <c r="G12" s="5" t="s">
        <v>80</v>
      </c>
      <c r="H12" s="5" t="s">
        <v>15</v>
      </c>
      <c r="I12" s="5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K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30"/>
    <col collapsed="false" customWidth="true" hidden="false" outlineLevel="0" max="7" min="7" style="0" width="14"/>
    <col collapsed="false" customWidth="true" hidden="false" outlineLevel="0" max="9" min="8" style="0" width="10"/>
    <col collapsed="false" customWidth="true" hidden="false" outlineLevel="0" max="10" min="10" style="0" width="22"/>
    <col collapsed="false" customWidth="true" hidden="false" outlineLevel="0" max="11" min="11" style="0" width="40"/>
  </cols>
  <sheetData>
    <row r="1" customFormat="false" ht="26.85" hidden="false" customHeight="false" outlineLevel="0" collapsed="false">
      <c r="A1" s="1" t="s">
        <v>82</v>
      </c>
      <c r="B1" s="1" t="s">
        <v>83</v>
      </c>
      <c r="C1" s="1" t="s">
        <v>84</v>
      </c>
      <c r="D1" s="1" t="s">
        <v>2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8</v>
      </c>
    </row>
    <row r="2" customFormat="false" ht="15" hidden="false" customHeight="false" outlineLevel="0" collapsed="false">
      <c r="A2" s="2" t="s">
        <v>9</v>
      </c>
      <c r="B2" s="3" t="s">
        <v>91</v>
      </c>
      <c r="C2" s="3" t="s">
        <v>92</v>
      </c>
      <c r="D2" s="3" t="s">
        <v>11</v>
      </c>
      <c r="E2" s="3" t="s">
        <v>93</v>
      </c>
      <c r="F2" s="3" t="s">
        <v>94</v>
      </c>
      <c r="G2" s="3" t="s">
        <v>95</v>
      </c>
      <c r="H2" s="3" t="s">
        <v>96</v>
      </c>
      <c r="I2" s="3" t="s">
        <v>97</v>
      </c>
      <c r="J2" s="3" t="s">
        <v>98</v>
      </c>
      <c r="K2" s="3" t="s">
        <v>99</v>
      </c>
    </row>
    <row r="3" customFormat="false" ht="15" hidden="false" customHeight="false" outlineLevel="0" collapsed="false">
      <c r="A3" s="2" t="s">
        <v>18</v>
      </c>
      <c r="B3" s="3" t="s">
        <v>91</v>
      </c>
      <c r="C3" s="3" t="s">
        <v>100</v>
      </c>
      <c r="D3" s="3" t="s">
        <v>11</v>
      </c>
      <c r="E3" s="3" t="s">
        <v>93</v>
      </c>
      <c r="F3" s="3" t="s">
        <v>94</v>
      </c>
      <c r="G3" s="3" t="s">
        <v>95</v>
      </c>
      <c r="H3" s="3" t="s">
        <v>96</v>
      </c>
      <c r="I3" s="3" t="s">
        <v>97</v>
      </c>
      <c r="J3" s="3" t="s">
        <v>101</v>
      </c>
      <c r="K3" s="3" t="s">
        <v>102</v>
      </c>
    </row>
    <row r="4" customFormat="false" ht="15" hidden="false" customHeight="false" outlineLevel="0" collapsed="false">
      <c r="A4" s="2" t="s">
        <v>103</v>
      </c>
      <c r="B4" s="3" t="s">
        <v>91</v>
      </c>
      <c r="C4" s="3" t="s">
        <v>104</v>
      </c>
      <c r="D4" s="3" t="s">
        <v>11</v>
      </c>
      <c r="E4" s="3" t="s">
        <v>93</v>
      </c>
      <c r="F4" s="3" t="s">
        <v>94</v>
      </c>
      <c r="G4" s="3" t="s">
        <v>95</v>
      </c>
      <c r="H4" s="3" t="s">
        <v>96</v>
      </c>
      <c r="I4" s="3" t="s">
        <v>97</v>
      </c>
      <c r="J4" s="3" t="s">
        <v>105</v>
      </c>
      <c r="K4" s="3" t="s">
        <v>106</v>
      </c>
    </row>
    <row r="5" customFormat="false" ht="15" hidden="false" customHeight="false" outlineLevel="0" collapsed="false">
      <c r="A5" s="6" t="s">
        <v>38</v>
      </c>
      <c r="B5" s="7" t="s">
        <v>91</v>
      </c>
      <c r="C5" s="7" t="s">
        <v>107</v>
      </c>
      <c r="D5" s="7" t="s">
        <v>108</v>
      </c>
      <c r="E5" s="7" t="s">
        <v>109</v>
      </c>
      <c r="F5" s="7" t="s">
        <v>94</v>
      </c>
      <c r="G5" s="7" t="s">
        <v>95</v>
      </c>
      <c r="H5" s="7" t="s">
        <v>96</v>
      </c>
      <c r="I5" s="7" t="s">
        <v>97</v>
      </c>
      <c r="J5" s="7" t="s">
        <v>15</v>
      </c>
      <c r="K5" s="7" t="s">
        <v>110</v>
      </c>
    </row>
    <row r="6" customFormat="false" ht="15" hidden="false" customHeight="false" outlineLevel="0" collapsed="false">
      <c r="A6" s="6" t="s">
        <v>45</v>
      </c>
      <c r="B6" s="7" t="s">
        <v>91</v>
      </c>
      <c r="C6" s="7" t="s">
        <v>111</v>
      </c>
      <c r="D6" s="7" t="s">
        <v>108</v>
      </c>
      <c r="E6" s="7" t="s">
        <v>109</v>
      </c>
      <c r="F6" s="7" t="s">
        <v>94</v>
      </c>
      <c r="G6" s="7" t="s">
        <v>95</v>
      </c>
      <c r="H6" s="7" t="s">
        <v>96</v>
      </c>
      <c r="I6" s="7" t="s">
        <v>97</v>
      </c>
      <c r="J6" s="7" t="s">
        <v>15</v>
      </c>
      <c r="K6" s="7" t="s">
        <v>112</v>
      </c>
    </row>
    <row r="7" customFormat="false" ht="15" hidden="false" customHeight="false" outlineLevel="0" collapsed="false">
      <c r="A7" s="6" t="s">
        <v>52</v>
      </c>
      <c r="B7" s="7" t="s">
        <v>91</v>
      </c>
      <c r="C7" s="7" t="s">
        <v>113</v>
      </c>
      <c r="D7" s="7" t="s">
        <v>108</v>
      </c>
      <c r="E7" s="7" t="s">
        <v>109</v>
      </c>
      <c r="F7" s="7" t="s">
        <v>94</v>
      </c>
      <c r="G7" s="7" t="s">
        <v>95</v>
      </c>
      <c r="H7" s="7" t="s">
        <v>96</v>
      </c>
      <c r="I7" s="7" t="s">
        <v>97</v>
      </c>
      <c r="J7" s="7" t="s">
        <v>15</v>
      </c>
      <c r="K7" s="7" t="s">
        <v>114</v>
      </c>
    </row>
    <row r="8" customFormat="false" ht="15" hidden="false" customHeight="false" outlineLevel="0" collapsed="false">
      <c r="A8" s="6" t="s">
        <v>58</v>
      </c>
      <c r="B8" s="7" t="s">
        <v>91</v>
      </c>
      <c r="C8" s="7" t="s">
        <v>115</v>
      </c>
      <c r="D8" s="7" t="s">
        <v>108</v>
      </c>
      <c r="E8" s="7" t="s">
        <v>109</v>
      </c>
      <c r="F8" s="7" t="s">
        <v>94</v>
      </c>
      <c r="G8" s="7" t="s">
        <v>95</v>
      </c>
      <c r="H8" s="7" t="s">
        <v>96</v>
      </c>
      <c r="I8" s="7" t="s">
        <v>97</v>
      </c>
      <c r="J8" s="7" t="s">
        <v>15</v>
      </c>
      <c r="K8" s="7" t="s">
        <v>116</v>
      </c>
    </row>
    <row r="9" customFormat="false" ht="15" hidden="false" customHeight="false" outlineLevel="0" collapsed="false">
      <c r="A9" s="4" t="s">
        <v>64</v>
      </c>
      <c r="B9" s="5" t="s">
        <v>91</v>
      </c>
      <c r="C9" s="5" t="s">
        <v>117</v>
      </c>
      <c r="D9" s="5" t="s">
        <v>47</v>
      </c>
      <c r="E9" s="5" t="s">
        <v>118</v>
      </c>
      <c r="F9" s="5" t="s">
        <v>119</v>
      </c>
      <c r="G9" s="5" t="s">
        <v>95</v>
      </c>
      <c r="H9" s="5" t="s">
        <v>120</v>
      </c>
      <c r="I9" s="5" t="s">
        <v>97</v>
      </c>
      <c r="J9" s="5" t="s">
        <v>15</v>
      </c>
      <c r="K9" s="5" t="s">
        <v>121</v>
      </c>
    </row>
    <row r="10" customFormat="false" ht="15" hidden="false" customHeight="false" outlineLevel="0" collapsed="false">
      <c r="A10" s="4" t="s">
        <v>70</v>
      </c>
      <c r="B10" s="5" t="s">
        <v>91</v>
      </c>
      <c r="C10" s="5" t="s">
        <v>122</v>
      </c>
      <c r="D10" s="5" t="s">
        <v>47</v>
      </c>
      <c r="E10" s="5" t="s">
        <v>118</v>
      </c>
      <c r="F10" s="5" t="s">
        <v>119</v>
      </c>
      <c r="G10" s="5" t="s">
        <v>95</v>
      </c>
      <c r="H10" s="5" t="s">
        <v>120</v>
      </c>
      <c r="I10" s="5" t="s">
        <v>97</v>
      </c>
      <c r="J10" s="5" t="s">
        <v>15</v>
      </c>
      <c r="K10" s="5" t="s">
        <v>123</v>
      </c>
    </row>
    <row r="11" customFormat="false" ht="15" hidden="false" customHeight="false" outlineLevel="0" collapsed="false">
      <c r="A11" s="4" t="s">
        <v>76</v>
      </c>
      <c r="B11" s="5" t="s">
        <v>91</v>
      </c>
      <c r="C11" s="5" t="s">
        <v>124</v>
      </c>
      <c r="D11" s="5" t="s">
        <v>47</v>
      </c>
      <c r="E11" s="5" t="s">
        <v>118</v>
      </c>
      <c r="F11" s="5" t="s">
        <v>119</v>
      </c>
      <c r="G11" s="5" t="s">
        <v>95</v>
      </c>
      <c r="H11" s="5" t="s">
        <v>120</v>
      </c>
      <c r="I11" s="5" t="s">
        <v>97</v>
      </c>
      <c r="J11" s="5" t="s">
        <v>15</v>
      </c>
      <c r="K11" s="5"/>
    </row>
    <row r="12" customFormat="false" ht="15" hidden="false" customHeight="false" outlineLevel="0" collapsed="false">
      <c r="A12" s="4" t="s">
        <v>125</v>
      </c>
      <c r="B12" s="5" t="s">
        <v>91</v>
      </c>
      <c r="C12" s="5" t="s">
        <v>126</v>
      </c>
      <c r="D12" s="5" t="s">
        <v>47</v>
      </c>
      <c r="E12" s="5" t="s">
        <v>118</v>
      </c>
      <c r="F12" s="5" t="s">
        <v>119</v>
      </c>
      <c r="G12" s="5" t="s">
        <v>95</v>
      </c>
      <c r="H12" s="5" t="s">
        <v>120</v>
      </c>
      <c r="I12" s="5" t="s">
        <v>97</v>
      </c>
      <c r="J12" s="5" t="s">
        <v>15</v>
      </c>
      <c r="K12" s="5"/>
    </row>
    <row r="13" customFormat="false" ht="15" hidden="false" customHeight="false" outlineLevel="0" collapsed="false">
      <c r="A13" s="4" t="s">
        <v>97</v>
      </c>
      <c r="B13" s="5" t="s">
        <v>91</v>
      </c>
      <c r="C13" s="5" t="s">
        <v>127</v>
      </c>
      <c r="D13" s="5" t="s">
        <v>47</v>
      </c>
      <c r="E13" s="5" t="s">
        <v>118</v>
      </c>
      <c r="F13" s="5" t="s">
        <v>119</v>
      </c>
      <c r="G13" s="5" t="s">
        <v>95</v>
      </c>
      <c r="H13" s="5" t="s">
        <v>120</v>
      </c>
      <c r="I13" s="5" t="s">
        <v>97</v>
      </c>
      <c r="J13" s="5" t="s">
        <v>15</v>
      </c>
      <c r="K13" s="5"/>
    </row>
    <row r="14" customFormat="false" ht="15" hidden="false" customHeight="false" outlineLevel="0" collapsed="false">
      <c r="A14" s="4" t="s">
        <v>128</v>
      </c>
      <c r="B14" s="5" t="s">
        <v>91</v>
      </c>
      <c r="C14" s="5" t="s">
        <v>129</v>
      </c>
      <c r="D14" s="5" t="s">
        <v>47</v>
      </c>
      <c r="E14" s="5" t="s">
        <v>130</v>
      </c>
      <c r="F14" s="5" t="s">
        <v>131</v>
      </c>
      <c r="G14" s="5" t="s">
        <v>132</v>
      </c>
      <c r="H14" s="5" t="s">
        <v>133</v>
      </c>
      <c r="I14" s="5" t="s">
        <v>97</v>
      </c>
      <c r="J14" s="5" t="s">
        <v>15</v>
      </c>
      <c r="K14" s="5" t="s">
        <v>134</v>
      </c>
    </row>
    <row r="15" customFormat="false" ht="15" hidden="false" customHeight="false" outlineLevel="0" collapsed="false">
      <c r="A15" s="4" t="s">
        <v>135</v>
      </c>
      <c r="B15" s="5" t="s">
        <v>91</v>
      </c>
      <c r="C15" s="5" t="s">
        <v>136</v>
      </c>
      <c r="D15" s="5" t="s">
        <v>47</v>
      </c>
      <c r="E15" s="5" t="s">
        <v>130</v>
      </c>
      <c r="F15" s="5" t="s">
        <v>131</v>
      </c>
      <c r="G15" s="5" t="s">
        <v>132</v>
      </c>
      <c r="H15" s="5" t="s">
        <v>133</v>
      </c>
      <c r="I15" s="5" t="s">
        <v>97</v>
      </c>
      <c r="J15" s="5" t="s">
        <v>15</v>
      </c>
      <c r="K15" s="5"/>
    </row>
    <row r="16" customFormat="false" ht="15" hidden="false" customHeight="false" outlineLevel="0" collapsed="false">
      <c r="A16" s="4" t="s">
        <v>137</v>
      </c>
      <c r="B16" s="5" t="s">
        <v>91</v>
      </c>
      <c r="C16" s="5" t="s">
        <v>138</v>
      </c>
      <c r="D16" s="5" t="s">
        <v>47</v>
      </c>
      <c r="E16" s="5" t="s">
        <v>130</v>
      </c>
      <c r="F16" s="5" t="s">
        <v>131</v>
      </c>
      <c r="G16" s="5" t="s">
        <v>132</v>
      </c>
      <c r="H16" s="5" t="s">
        <v>133</v>
      </c>
      <c r="I16" s="5" t="s">
        <v>97</v>
      </c>
      <c r="J16" s="5" t="s">
        <v>15</v>
      </c>
      <c r="K16" s="5"/>
    </row>
    <row r="17" customFormat="false" ht="15" hidden="false" customHeight="false" outlineLevel="0" collapsed="false">
      <c r="A17" s="4" t="s">
        <v>139</v>
      </c>
      <c r="B17" s="5" t="s">
        <v>91</v>
      </c>
      <c r="C17" s="5" t="s">
        <v>140</v>
      </c>
      <c r="D17" s="5" t="s">
        <v>47</v>
      </c>
      <c r="E17" s="5" t="s">
        <v>130</v>
      </c>
      <c r="F17" s="5" t="s">
        <v>131</v>
      </c>
      <c r="G17" s="5" t="s">
        <v>132</v>
      </c>
      <c r="H17" s="5" t="s">
        <v>133</v>
      </c>
      <c r="I17" s="5" t="s">
        <v>97</v>
      </c>
      <c r="J17" s="5" t="s">
        <v>15</v>
      </c>
      <c r="K17" s="5"/>
    </row>
    <row r="18" customFormat="false" ht="15" hidden="false" customHeight="false" outlineLevel="0" collapsed="false">
      <c r="A18" s="4" t="s">
        <v>141</v>
      </c>
      <c r="B18" s="5" t="s">
        <v>91</v>
      </c>
      <c r="C18" s="5" t="s">
        <v>142</v>
      </c>
      <c r="D18" s="5" t="s">
        <v>47</v>
      </c>
      <c r="E18" s="5" t="s">
        <v>130</v>
      </c>
      <c r="F18" s="5" t="s">
        <v>131</v>
      </c>
      <c r="G18" s="5" t="s">
        <v>132</v>
      </c>
      <c r="H18" s="5" t="s">
        <v>133</v>
      </c>
      <c r="I18" s="5" t="s">
        <v>97</v>
      </c>
      <c r="J18" s="5" t="s">
        <v>15</v>
      </c>
      <c r="K18" s="5" t="s">
        <v>143</v>
      </c>
    </row>
    <row r="19" customFormat="false" ht="15" hidden="false" customHeight="false" outlineLevel="0" collapsed="false">
      <c r="A19" s="4" t="s">
        <v>144</v>
      </c>
      <c r="B19" s="5" t="s">
        <v>91</v>
      </c>
      <c r="C19" s="5" t="s">
        <v>145</v>
      </c>
      <c r="D19" s="5" t="s">
        <v>47</v>
      </c>
      <c r="E19" s="5" t="s">
        <v>45</v>
      </c>
      <c r="F19" s="5" t="s">
        <v>146</v>
      </c>
      <c r="G19" s="5" t="s">
        <v>132</v>
      </c>
      <c r="H19" s="5" t="s">
        <v>120</v>
      </c>
      <c r="I19" s="5" t="s">
        <v>97</v>
      </c>
      <c r="J19" s="5" t="s">
        <v>15</v>
      </c>
      <c r="K19" s="5" t="s">
        <v>147</v>
      </c>
    </row>
    <row r="20" customFormat="false" ht="15" hidden="false" customHeight="false" outlineLevel="0" collapsed="false">
      <c r="A20" s="6" t="s">
        <v>148</v>
      </c>
      <c r="B20" s="7" t="s">
        <v>149</v>
      </c>
      <c r="C20" s="7" t="s">
        <v>150</v>
      </c>
      <c r="D20" s="7" t="s">
        <v>108</v>
      </c>
      <c r="E20" s="7" t="s">
        <v>151</v>
      </c>
      <c r="F20" s="7" t="s">
        <v>152</v>
      </c>
      <c r="G20" s="7" t="s">
        <v>95</v>
      </c>
      <c r="H20" s="7" t="s">
        <v>96</v>
      </c>
      <c r="I20" s="7" t="s">
        <v>97</v>
      </c>
      <c r="J20" s="7" t="s">
        <v>15</v>
      </c>
      <c r="K20" s="7" t="s">
        <v>153</v>
      </c>
    </row>
    <row r="21" customFormat="false" ht="15" hidden="false" customHeight="false" outlineLevel="0" collapsed="false">
      <c r="A21" s="6" t="s">
        <v>154</v>
      </c>
      <c r="B21" s="7" t="s">
        <v>149</v>
      </c>
      <c r="C21" s="7" t="s">
        <v>155</v>
      </c>
      <c r="D21" s="7" t="s">
        <v>108</v>
      </c>
      <c r="E21" s="7" t="s">
        <v>151</v>
      </c>
      <c r="F21" s="7" t="s">
        <v>152</v>
      </c>
      <c r="G21" s="7" t="s">
        <v>95</v>
      </c>
      <c r="H21" s="7" t="s">
        <v>96</v>
      </c>
      <c r="I21" s="7" t="s">
        <v>97</v>
      </c>
      <c r="J21" s="7" t="s">
        <v>15</v>
      </c>
      <c r="K21" s="7"/>
    </row>
    <row r="22" customFormat="false" ht="15" hidden="false" customHeight="false" outlineLevel="0" collapsed="false">
      <c r="A22" s="4" t="s">
        <v>156</v>
      </c>
      <c r="B22" s="5" t="s">
        <v>149</v>
      </c>
      <c r="C22" s="5" t="s">
        <v>157</v>
      </c>
      <c r="D22" s="5" t="s">
        <v>47</v>
      </c>
      <c r="E22" s="5" t="s">
        <v>45</v>
      </c>
      <c r="F22" s="5" t="s">
        <v>158</v>
      </c>
      <c r="G22" s="5" t="s">
        <v>132</v>
      </c>
      <c r="H22" s="5" t="s">
        <v>96</v>
      </c>
      <c r="I22" s="5" t="s">
        <v>97</v>
      </c>
      <c r="J22" s="5" t="s">
        <v>15</v>
      </c>
      <c r="K22" s="5" t="s">
        <v>159</v>
      </c>
    </row>
    <row r="23" customFormat="false" ht="15" hidden="false" customHeight="false" outlineLevel="0" collapsed="false">
      <c r="A23" s="4" t="s">
        <v>160</v>
      </c>
      <c r="B23" s="5" t="s">
        <v>149</v>
      </c>
      <c r="C23" s="5" t="s">
        <v>161</v>
      </c>
      <c r="D23" s="5" t="s">
        <v>47</v>
      </c>
      <c r="E23" s="5" t="s">
        <v>45</v>
      </c>
      <c r="F23" s="5" t="s">
        <v>158</v>
      </c>
      <c r="G23" s="5" t="s">
        <v>132</v>
      </c>
      <c r="H23" s="5" t="s">
        <v>96</v>
      </c>
      <c r="I23" s="5" t="s">
        <v>97</v>
      </c>
      <c r="J23" s="5" t="s">
        <v>15</v>
      </c>
      <c r="K23" s="5"/>
    </row>
    <row r="24" customFormat="false" ht="15" hidden="false" customHeight="false" outlineLevel="0" collapsed="false">
      <c r="A24" s="4" t="s">
        <v>162</v>
      </c>
      <c r="B24" s="5" t="s">
        <v>149</v>
      </c>
      <c r="C24" s="5" t="s">
        <v>163</v>
      </c>
      <c r="D24" s="5" t="s">
        <v>47</v>
      </c>
      <c r="E24" s="5" t="s">
        <v>45</v>
      </c>
      <c r="F24" s="5" t="s">
        <v>158</v>
      </c>
      <c r="G24" s="5" t="s">
        <v>132</v>
      </c>
      <c r="H24" s="5" t="s">
        <v>96</v>
      </c>
      <c r="I24" s="5" t="s">
        <v>97</v>
      </c>
      <c r="J24" s="5" t="s">
        <v>15</v>
      </c>
      <c r="K24" s="5"/>
    </row>
    <row r="25" customFormat="false" ht="15" hidden="false" customHeight="false" outlineLevel="0" collapsed="false">
      <c r="A25" s="4" t="s">
        <v>164</v>
      </c>
      <c r="B25" s="5" t="s">
        <v>149</v>
      </c>
      <c r="C25" s="5" t="s">
        <v>165</v>
      </c>
      <c r="D25" s="5" t="s">
        <v>47</v>
      </c>
      <c r="E25" s="5" t="s">
        <v>45</v>
      </c>
      <c r="F25" s="5" t="s">
        <v>166</v>
      </c>
      <c r="G25" s="5" t="s">
        <v>132</v>
      </c>
      <c r="H25" s="5" t="s">
        <v>96</v>
      </c>
      <c r="I25" s="5" t="s">
        <v>97</v>
      </c>
      <c r="J25" s="5" t="s">
        <v>15</v>
      </c>
      <c r="K25" s="5" t="s">
        <v>167</v>
      </c>
    </row>
    <row r="26" customFormat="false" ht="15" hidden="false" customHeight="false" outlineLevel="0" collapsed="false">
      <c r="A26" s="4" t="s">
        <v>168</v>
      </c>
      <c r="B26" s="5" t="s">
        <v>149</v>
      </c>
      <c r="C26" s="5" t="s">
        <v>169</v>
      </c>
      <c r="D26" s="5" t="s">
        <v>47</v>
      </c>
      <c r="E26" s="5" t="s">
        <v>170</v>
      </c>
      <c r="F26" s="5" t="s">
        <v>171</v>
      </c>
      <c r="G26" s="5" t="s">
        <v>172</v>
      </c>
      <c r="H26" s="5" t="s">
        <v>120</v>
      </c>
      <c r="I26" s="5" t="s">
        <v>173</v>
      </c>
      <c r="J26" s="5" t="s">
        <v>15</v>
      </c>
      <c r="K26" s="5" t="s">
        <v>174</v>
      </c>
    </row>
    <row r="27" customFormat="false" ht="15" hidden="false" customHeight="false" outlineLevel="0" collapsed="false">
      <c r="A27" s="4" t="s">
        <v>175</v>
      </c>
      <c r="B27" s="5" t="s">
        <v>149</v>
      </c>
      <c r="C27" s="5" t="s">
        <v>176</v>
      </c>
      <c r="D27" s="5" t="s">
        <v>47</v>
      </c>
      <c r="E27" s="5" t="s">
        <v>170</v>
      </c>
      <c r="F27" s="5" t="s">
        <v>171</v>
      </c>
      <c r="G27" s="5" t="s">
        <v>172</v>
      </c>
      <c r="H27" s="5" t="s">
        <v>120</v>
      </c>
      <c r="I27" s="5" t="s">
        <v>173</v>
      </c>
      <c r="J27" s="5" t="s">
        <v>15</v>
      </c>
      <c r="K27" s="5"/>
    </row>
    <row r="28" customFormat="false" ht="15" hidden="false" customHeight="false" outlineLevel="0" collapsed="false">
      <c r="A28" s="4" t="s">
        <v>177</v>
      </c>
      <c r="B28" s="5" t="s">
        <v>149</v>
      </c>
      <c r="C28" s="5" t="s">
        <v>178</v>
      </c>
      <c r="D28" s="5" t="s">
        <v>47</v>
      </c>
      <c r="E28" s="5" t="s">
        <v>45</v>
      </c>
      <c r="F28" s="5" t="s">
        <v>152</v>
      </c>
      <c r="G28" s="5" t="s">
        <v>132</v>
      </c>
      <c r="H28" s="5" t="s">
        <v>96</v>
      </c>
      <c r="I28" s="5" t="s">
        <v>97</v>
      </c>
      <c r="J28" s="5" t="s">
        <v>15</v>
      </c>
      <c r="K28" s="5"/>
    </row>
    <row r="29" customFormat="false" ht="15" hidden="false" customHeight="false" outlineLevel="0" collapsed="false">
      <c r="A29" s="4" t="s">
        <v>179</v>
      </c>
      <c r="B29" s="5" t="s">
        <v>149</v>
      </c>
      <c r="C29" s="5" t="s">
        <v>180</v>
      </c>
      <c r="D29" s="5" t="s">
        <v>47</v>
      </c>
      <c r="E29" s="5" t="s">
        <v>130</v>
      </c>
      <c r="F29" s="5" t="s">
        <v>181</v>
      </c>
      <c r="G29" s="5" t="s">
        <v>132</v>
      </c>
      <c r="H29" s="5" t="s">
        <v>133</v>
      </c>
      <c r="I29" s="5" t="s">
        <v>97</v>
      </c>
      <c r="J29" s="5" t="s">
        <v>15</v>
      </c>
      <c r="K29" s="5" t="s">
        <v>182</v>
      </c>
    </row>
    <row r="30" customFormat="false" ht="15" hidden="false" customHeight="false" outlineLevel="0" collapsed="false">
      <c r="A30" s="4" t="s">
        <v>183</v>
      </c>
      <c r="B30" s="5" t="s">
        <v>149</v>
      </c>
      <c r="C30" s="5" t="s">
        <v>184</v>
      </c>
      <c r="D30" s="5" t="s">
        <v>47</v>
      </c>
      <c r="E30" s="5" t="s">
        <v>185</v>
      </c>
      <c r="F30" s="5" t="s">
        <v>186</v>
      </c>
      <c r="G30" s="5" t="s">
        <v>132</v>
      </c>
      <c r="H30" s="5" t="s">
        <v>96</v>
      </c>
      <c r="I30" s="5" t="s">
        <v>97</v>
      </c>
      <c r="J30" s="5" t="s">
        <v>15</v>
      </c>
      <c r="K30" s="5" t="s">
        <v>187</v>
      </c>
    </row>
    <row r="31" customFormat="false" ht="15" hidden="false" customHeight="false" outlineLevel="0" collapsed="false">
      <c r="A31" s="4" t="s">
        <v>188</v>
      </c>
      <c r="B31" s="5" t="s">
        <v>149</v>
      </c>
      <c r="C31" s="5" t="s">
        <v>189</v>
      </c>
      <c r="D31" s="5" t="s">
        <v>47</v>
      </c>
      <c r="E31" s="5" t="s">
        <v>170</v>
      </c>
      <c r="F31" s="5" t="s">
        <v>190</v>
      </c>
      <c r="G31" s="5" t="s">
        <v>172</v>
      </c>
      <c r="H31" s="5" t="s">
        <v>120</v>
      </c>
      <c r="I31" s="5" t="s">
        <v>173</v>
      </c>
      <c r="J31" s="5" t="s">
        <v>15</v>
      </c>
      <c r="K31" s="5"/>
    </row>
    <row r="32" customFormat="false" ht="15" hidden="false" customHeight="false" outlineLevel="0" collapsed="false">
      <c r="A32" s="4" t="s">
        <v>191</v>
      </c>
      <c r="B32" s="5" t="s">
        <v>192</v>
      </c>
      <c r="C32" s="5" t="s">
        <v>193</v>
      </c>
      <c r="D32" s="5" t="s">
        <v>47</v>
      </c>
      <c r="E32" s="5" t="s">
        <v>52</v>
      </c>
      <c r="F32" s="5" t="s">
        <v>194</v>
      </c>
      <c r="G32" s="5" t="s">
        <v>172</v>
      </c>
      <c r="H32" s="5" t="s">
        <v>120</v>
      </c>
      <c r="I32" s="5" t="s">
        <v>173</v>
      </c>
      <c r="J32" s="5" t="s">
        <v>15</v>
      </c>
      <c r="K32" s="5" t="s">
        <v>195</v>
      </c>
    </row>
    <row r="33" customFormat="false" ht="15" hidden="false" customHeight="false" outlineLevel="0" collapsed="false">
      <c r="A33" s="4" t="s">
        <v>196</v>
      </c>
      <c r="B33" s="5" t="s">
        <v>192</v>
      </c>
      <c r="C33" s="5" t="s">
        <v>197</v>
      </c>
      <c r="D33" s="5" t="s">
        <v>47</v>
      </c>
      <c r="E33" s="5" t="s">
        <v>52</v>
      </c>
      <c r="F33" s="5" t="s">
        <v>194</v>
      </c>
      <c r="G33" s="5" t="s">
        <v>172</v>
      </c>
      <c r="H33" s="5" t="s">
        <v>120</v>
      </c>
      <c r="I33" s="5" t="s">
        <v>173</v>
      </c>
      <c r="J33" s="5" t="s">
        <v>15</v>
      </c>
      <c r="K33" s="5"/>
    </row>
    <row r="34" customFormat="false" ht="15" hidden="false" customHeight="false" outlineLevel="0" collapsed="false">
      <c r="A34" s="4" t="s">
        <v>198</v>
      </c>
      <c r="B34" s="5" t="s">
        <v>192</v>
      </c>
      <c r="C34" s="5" t="s">
        <v>199</v>
      </c>
      <c r="D34" s="5" t="s">
        <v>47</v>
      </c>
      <c r="E34" s="5" t="s">
        <v>45</v>
      </c>
      <c r="F34" s="5" t="s">
        <v>200</v>
      </c>
      <c r="G34" s="5" t="s">
        <v>132</v>
      </c>
      <c r="H34" s="5" t="s">
        <v>120</v>
      </c>
      <c r="I34" s="5" t="s">
        <v>97</v>
      </c>
      <c r="J34" s="5" t="s">
        <v>15</v>
      </c>
      <c r="K34" s="5" t="s">
        <v>201</v>
      </c>
    </row>
    <row r="35" customFormat="false" ht="15" hidden="false" customHeight="false" outlineLevel="0" collapsed="false">
      <c r="A35" s="4" t="s">
        <v>202</v>
      </c>
      <c r="B35" s="5" t="s">
        <v>192</v>
      </c>
      <c r="C35" s="5" t="s">
        <v>203</v>
      </c>
      <c r="D35" s="5" t="s">
        <v>47</v>
      </c>
      <c r="E35" s="5" t="s">
        <v>52</v>
      </c>
      <c r="F35" s="5" t="s">
        <v>194</v>
      </c>
      <c r="G35" s="5" t="s">
        <v>172</v>
      </c>
      <c r="H35" s="5" t="s">
        <v>120</v>
      </c>
      <c r="I35" s="5" t="s">
        <v>173</v>
      </c>
      <c r="J35" s="5" t="s">
        <v>15</v>
      </c>
      <c r="K35" s="5" t="s">
        <v>195</v>
      </c>
    </row>
    <row r="36" customFormat="false" ht="15" hidden="false" customHeight="false" outlineLevel="0" collapsed="false">
      <c r="A36" s="4" t="s">
        <v>204</v>
      </c>
      <c r="B36" s="5" t="s">
        <v>192</v>
      </c>
      <c r="C36" s="5" t="s">
        <v>205</v>
      </c>
      <c r="D36" s="5" t="s">
        <v>47</v>
      </c>
      <c r="E36" s="5" t="s">
        <v>45</v>
      </c>
      <c r="F36" s="5" t="s">
        <v>206</v>
      </c>
      <c r="G36" s="5" t="s">
        <v>132</v>
      </c>
      <c r="H36" s="5" t="s">
        <v>120</v>
      </c>
      <c r="I36" s="5" t="s">
        <v>97</v>
      </c>
      <c r="J36" s="5" t="s">
        <v>15</v>
      </c>
      <c r="K36" s="5"/>
    </row>
    <row r="37" customFormat="false" ht="15" hidden="false" customHeight="false" outlineLevel="0" collapsed="false">
      <c r="A37" s="4" t="s">
        <v>207</v>
      </c>
      <c r="B37" s="5" t="s">
        <v>192</v>
      </c>
      <c r="C37" s="5" t="s">
        <v>208</v>
      </c>
      <c r="D37" s="5" t="s">
        <v>47</v>
      </c>
      <c r="E37" s="5" t="s">
        <v>45</v>
      </c>
      <c r="F37" s="5" t="s">
        <v>206</v>
      </c>
      <c r="G37" s="5" t="s">
        <v>132</v>
      </c>
      <c r="H37" s="5" t="s">
        <v>120</v>
      </c>
      <c r="I37" s="5" t="s">
        <v>97</v>
      </c>
      <c r="J37" s="5" t="s">
        <v>15</v>
      </c>
      <c r="K37" s="5"/>
    </row>
    <row r="38" customFormat="false" ht="15" hidden="false" customHeight="false" outlineLevel="0" collapsed="false">
      <c r="A38" s="4" t="s">
        <v>209</v>
      </c>
      <c r="B38" s="5" t="s">
        <v>192</v>
      </c>
      <c r="C38" s="5" t="s">
        <v>210</v>
      </c>
      <c r="D38" s="5" t="s">
        <v>47</v>
      </c>
      <c r="E38" s="5" t="s">
        <v>45</v>
      </c>
      <c r="F38" s="5" t="s">
        <v>200</v>
      </c>
      <c r="G38" s="5" t="s">
        <v>132</v>
      </c>
      <c r="H38" s="5" t="s">
        <v>120</v>
      </c>
      <c r="I38" s="5" t="s">
        <v>97</v>
      </c>
      <c r="J38" s="5" t="s">
        <v>15</v>
      </c>
      <c r="K38" s="5"/>
    </row>
    <row r="39" customFormat="false" ht="15" hidden="false" customHeight="false" outlineLevel="0" collapsed="false">
      <c r="A39" s="4" t="s">
        <v>211</v>
      </c>
      <c r="B39" s="5" t="s">
        <v>192</v>
      </c>
      <c r="C39" s="5" t="s">
        <v>212</v>
      </c>
      <c r="D39" s="5" t="s">
        <v>47</v>
      </c>
      <c r="E39" s="5" t="s">
        <v>45</v>
      </c>
      <c r="F39" s="5" t="s">
        <v>213</v>
      </c>
      <c r="G39" s="5" t="s">
        <v>132</v>
      </c>
      <c r="H39" s="5" t="s">
        <v>120</v>
      </c>
      <c r="I39" s="5" t="s">
        <v>97</v>
      </c>
      <c r="J39" s="5" t="s">
        <v>15</v>
      </c>
      <c r="K39" s="5"/>
    </row>
    <row r="40" customFormat="false" ht="15" hidden="false" customHeight="false" outlineLevel="0" collapsed="false">
      <c r="A40" s="4" t="s">
        <v>214</v>
      </c>
      <c r="B40" s="5" t="s">
        <v>215</v>
      </c>
      <c r="C40" s="5" t="s">
        <v>216</v>
      </c>
      <c r="D40" s="5" t="s">
        <v>47</v>
      </c>
      <c r="E40" s="5" t="s">
        <v>217</v>
      </c>
      <c r="F40" s="5" t="s">
        <v>218</v>
      </c>
      <c r="G40" s="5" t="s">
        <v>172</v>
      </c>
      <c r="H40" s="5" t="s">
        <v>120</v>
      </c>
      <c r="I40" s="5" t="s">
        <v>173</v>
      </c>
      <c r="J40" s="5" t="s">
        <v>15</v>
      </c>
      <c r="K40" s="5" t="s">
        <v>219</v>
      </c>
    </row>
    <row r="41" customFormat="false" ht="15" hidden="false" customHeight="false" outlineLevel="0" collapsed="false">
      <c r="A41" s="4" t="s">
        <v>220</v>
      </c>
      <c r="B41" s="5" t="s">
        <v>215</v>
      </c>
      <c r="C41" s="5" t="s">
        <v>221</v>
      </c>
      <c r="D41" s="5" t="s">
        <v>47</v>
      </c>
      <c r="E41" s="5" t="s">
        <v>217</v>
      </c>
      <c r="F41" s="5" t="s">
        <v>222</v>
      </c>
      <c r="G41" s="5" t="s">
        <v>172</v>
      </c>
      <c r="H41" s="5" t="s">
        <v>120</v>
      </c>
      <c r="I41" s="5" t="s">
        <v>173</v>
      </c>
      <c r="J41" s="5" t="s">
        <v>15</v>
      </c>
      <c r="K41" s="5"/>
    </row>
    <row r="42" customFormat="false" ht="15" hidden="false" customHeight="false" outlineLevel="0" collapsed="false">
      <c r="A42" s="4" t="s">
        <v>223</v>
      </c>
      <c r="B42" s="5" t="s">
        <v>215</v>
      </c>
      <c r="C42" s="5" t="s">
        <v>224</v>
      </c>
      <c r="D42" s="5" t="s">
        <v>47</v>
      </c>
      <c r="E42" s="5" t="s">
        <v>217</v>
      </c>
      <c r="F42" s="5" t="s">
        <v>225</v>
      </c>
      <c r="G42" s="5" t="s">
        <v>172</v>
      </c>
      <c r="H42" s="5" t="s">
        <v>120</v>
      </c>
      <c r="I42" s="5" t="s">
        <v>173</v>
      </c>
      <c r="J42" s="5" t="s">
        <v>15</v>
      </c>
      <c r="K42" s="5"/>
    </row>
    <row r="43" customFormat="false" ht="15" hidden="false" customHeight="false" outlineLevel="0" collapsed="false">
      <c r="A43" s="4" t="s">
        <v>226</v>
      </c>
      <c r="B43" s="5" t="s">
        <v>215</v>
      </c>
      <c r="C43" s="5" t="s">
        <v>227</v>
      </c>
      <c r="D43" s="5" t="s">
        <v>47</v>
      </c>
      <c r="E43" s="5" t="s">
        <v>217</v>
      </c>
      <c r="F43" s="5" t="s">
        <v>228</v>
      </c>
      <c r="G43" s="5" t="s">
        <v>172</v>
      </c>
      <c r="H43" s="5" t="s">
        <v>229</v>
      </c>
      <c r="I43" s="5" t="s">
        <v>230</v>
      </c>
      <c r="J43" s="5" t="s">
        <v>15</v>
      </c>
      <c r="K43" s="5" t="s">
        <v>231</v>
      </c>
    </row>
    <row r="44" customFormat="false" ht="15" hidden="false" customHeight="false" outlineLevel="0" collapsed="false">
      <c r="A44" s="4" t="s">
        <v>232</v>
      </c>
      <c r="B44" s="5" t="s">
        <v>215</v>
      </c>
      <c r="C44" s="5" t="s">
        <v>233</v>
      </c>
      <c r="D44" s="5" t="s">
        <v>47</v>
      </c>
      <c r="E44" s="5" t="s">
        <v>217</v>
      </c>
      <c r="F44" s="5" t="s">
        <v>234</v>
      </c>
      <c r="G44" s="5" t="s">
        <v>172</v>
      </c>
      <c r="H44" s="5" t="s">
        <v>229</v>
      </c>
      <c r="I44" s="5" t="s">
        <v>230</v>
      </c>
      <c r="J44" s="5" t="s">
        <v>15</v>
      </c>
      <c r="K44" s="5" t="s">
        <v>235</v>
      </c>
    </row>
    <row r="45" customFormat="false" ht="15" hidden="false" customHeight="false" outlineLevel="0" collapsed="false">
      <c r="A45" s="4" t="s">
        <v>236</v>
      </c>
      <c r="B45" s="5" t="s">
        <v>215</v>
      </c>
      <c r="C45" s="5" t="s">
        <v>237</v>
      </c>
      <c r="D45" s="5" t="s">
        <v>47</v>
      </c>
      <c r="E45" s="5" t="s">
        <v>170</v>
      </c>
      <c r="F45" s="5" t="s">
        <v>238</v>
      </c>
      <c r="G45" s="5" t="s">
        <v>172</v>
      </c>
      <c r="H45" s="5" t="s">
        <v>229</v>
      </c>
      <c r="I45" s="5" t="s">
        <v>239</v>
      </c>
      <c r="J45" s="5" t="s">
        <v>15</v>
      </c>
      <c r="K45" s="5" t="s">
        <v>240</v>
      </c>
    </row>
    <row r="46" customFormat="false" ht="15" hidden="false" customHeight="false" outlineLevel="0" collapsed="false">
      <c r="A46" s="4" t="s">
        <v>241</v>
      </c>
      <c r="B46" s="5" t="s">
        <v>215</v>
      </c>
      <c r="C46" s="5" t="s">
        <v>242</v>
      </c>
      <c r="D46" s="5" t="s">
        <v>47</v>
      </c>
      <c r="E46" s="5" t="s">
        <v>58</v>
      </c>
      <c r="F46" s="5" t="s">
        <v>243</v>
      </c>
      <c r="G46" s="5" t="s">
        <v>172</v>
      </c>
      <c r="H46" s="5" t="s">
        <v>120</v>
      </c>
      <c r="I46" s="5" t="s">
        <v>239</v>
      </c>
      <c r="J46" s="5" t="s">
        <v>15</v>
      </c>
      <c r="K46" s="5"/>
    </row>
    <row r="47" customFormat="false" ht="15" hidden="false" customHeight="false" outlineLevel="0" collapsed="false">
      <c r="A47" s="4" t="s">
        <v>244</v>
      </c>
      <c r="B47" s="5" t="s">
        <v>215</v>
      </c>
      <c r="C47" s="5" t="s">
        <v>245</v>
      </c>
      <c r="D47" s="5" t="s">
        <v>47</v>
      </c>
      <c r="E47" s="5" t="s">
        <v>217</v>
      </c>
      <c r="F47" s="5" t="s">
        <v>246</v>
      </c>
      <c r="G47" s="5" t="s">
        <v>247</v>
      </c>
      <c r="H47" s="5" t="s">
        <v>248</v>
      </c>
      <c r="I47" s="5" t="s">
        <v>239</v>
      </c>
      <c r="J47" s="5" t="s">
        <v>15</v>
      </c>
      <c r="K47" s="5" t="s">
        <v>249</v>
      </c>
    </row>
    <row r="48" customFormat="false" ht="15" hidden="false" customHeight="false" outlineLevel="0" collapsed="false">
      <c r="A48" s="4" t="s">
        <v>250</v>
      </c>
      <c r="B48" s="5" t="s">
        <v>215</v>
      </c>
      <c r="C48" s="5" t="s">
        <v>251</v>
      </c>
      <c r="D48" s="5" t="s">
        <v>47</v>
      </c>
      <c r="E48" s="5" t="s">
        <v>217</v>
      </c>
      <c r="F48" s="5" t="s">
        <v>246</v>
      </c>
      <c r="G48" s="5" t="s">
        <v>247</v>
      </c>
      <c r="H48" s="5" t="s">
        <v>248</v>
      </c>
      <c r="I48" s="5" t="s">
        <v>239</v>
      </c>
      <c r="J48" s="5" t="s">
        <v>15</v>
      </c>
      <c r="K48" s="5"/>
    </row>
    <row r="49" customFormat="false" ht="15" hidden="false" customHeight="false" outlineLevel="0" collapsed="false">
      <c r="A49" s="4" t="s">
        <v>96</v>
      </c>
      <c r="B49" s="5" t="s">
        <v>215</v>
      </c>
      <c r="C49" s="5" t="s">
        <v>252</v>
      </c>
      <c r="D49" s="5" t="s">
        <v>47</v>
      </c>
      <c r="E49" s="5" t="s">
        <v>217</v>
      </c>
      <c r="F49" s="5" t="s">
        <v>253</v>
      </c>
      <c r="G49" s="5" t="s">
        <v>247</v>
      </c>
      <c r="H49" s="5" t="s">
        <v>248</v>
      </c>
      <c r="I49" s="5" t="s">
        <v>239</v>
      </c>
      <c r="J49" s="5" t="s">
        <v>15</v>
      </c>
      <c r="K49" s="5"/>
    </row>
    <row r="50" customFormat="false" ht="15" hidden="false" customHeight="false" outlineLevel="0" collapsed="false">
      <c r="A50" s="4" t="s">
        <v>254</v>
      </c>
      <c r="B50" s="5" t="s">
        <v>215</v>
      </c>
      <c r="C50" s="5" t="s">
        <v>255</v>
      </c>
      <c r="D50" s="5" t="s">
        <v>47</v>
      </c>
      <c r="E50" s="5" t="s">
        <v>217</v>
      </c>
      <c r="F50" s="5" t="s">
        <v>246</v>
      </c>
      <c r="G50" s="5" t="s">
        <v>247</v>
      </c>
      <c r="H50" s="5" t="s">
        <v>248</v>
      </c>
      <c r="I50" s="5" t="s">
        <v>239</v>
      </c>
      <c r="J50" s="5" t="s">
        <v>15</v>
      </c>
      <c r="K50" s="5"/>
    </row>
    <row r="51" customFormat="false" ht="15" hidden="false" customHeight="false" outlineLevel="0" collapsed="false">
      <c r="A51" s="4" t="s">
        <v>256</v>
      </c>
      <c r="B51" s="5" t="s">
        <v>215</v>
      </c>
      <c r="C51" s="5" t="s">
        <v>257</v>
      </c>
      <c r="D51" s="5" t="s">
        <v>47</v>
      </c>
      <c r="E51" s="5" t="s">
        <v>258</v>
      </c>
      <c r="F51" s="5" t="s">
        <v>259</v>
      </c>
      <c r="G51" s="5" t="s">
        <v>247</v>
      </c>
      <c r="H51" s="5" t="s">
        <v>248</v>
      </c>
      <c r="I51" s="5" t="s">
        <v>239</v>
      </c>
      <c r="J51" s="5" t="s">
        <v>15</v>
      </c>
      <c r="K51" s="5" t="s">
        <v>260</v>
      </c>
    </row>
    <row r="52" customFormat="false" ht="15" hidden="false" customHeight="false" outlineLevel="0" collapsed="false">
      <c r="A52" s="4" t="s">
        <v>261</v>
      </c>
      <c r="B52" s="5" t="s">
        <v>215</v>
      </c>
      <c r="C52" s="5" t="s">
        <v>262</v>
      </c>
      <c r="D52" s="5" t="s">
        <v>47</v>
      </c>
      <c r="E52" s="5" t="s">
        <v>258</v>
      </c>
      <c r="F52" s="5" t="s">
        <v>263</v>
      </c>
      <c r="G52" s="5" t="s">
        <v>247</v>
      </c>
      <c r="H52" s="5" t="s">
        <v>248</v>
      </c>
      <c r="I52" s="5" t="s">
        <v>239</v>
      </c>
      <c r="J52" s="5" t="s">
        <v>15</v>
      </c>
      <c r="K52" s="5" t="s">
        <v>264</v>
      </c>
    </row>
    <row r="53" customFormat="false" ht="15" hidden="false" customHeight="false" outlineLevel="0" collapsed="false">
      <c r="A53" s="4" t="s">
        <v>265</v>
      </c>
      <c r="B53" s="5" t="s">
        <v>215</v>
      </c>
      <c r="C53" s="5" t="s">
        <v>266</v>
      </c>
      <c r="D53" s="5" t="s">
        <v>47</v>
      </c>
      <c r="E53" s="5" t="s">
        <v>170</v>
      </c>
      <c r="F53" s="5" t="s">
        <v>267</v>
      </c>
      <c r="G53" s="5" t="s">
        <v>172</v>
      </c>
      <c r="H53" s="5" t="s">
        <v>120</v>
      </c>
      <c r="I53" s="5" t="s">
        <v>173</v>
      </c>
      <c r="J53" s="5" t="s">
        <v>15</v>
      </c>
      <c r="K53" s="5" t="s">
        <v>268</v>
      </c>
    </row>
    <row r="54" customFormat="false" ht="15" hidden="false" customHeight="false" outlineLevel="0" collapsed="false">
      <c r="A54" s="4" t="s">
        <v>269</v>
      </c>
      <c r="B54" s="5" t="s">
        <v>215</v>
      </c>
      <c r="C54" s="5" t="s">
        <v>270</v>
      </c>
      <c r="D54" s="5" t="s">
        <v>47</v>
      </c>
      <c r="E54" s="5" t="s">
        <v>258</v>
      </c>
      <c r="F54" s="5" t="s">
        <v>271</v>
      </c>
      <c r="G54" s="5" t="s">
        <v>247</v>
      </c>
      <c r="H54" s="5" t="s">
        <v>248</v>
      </c>
      <c r="I54" s="5" t="s">
        <v>272</v>
      </c>
      <c r="J54" s="5" t="s">
        <v>15</v>
      </c>
      <c r="K54" s="5" t="s">
        <v>273</v>
      </c>
    </row>
    <row r="55" customFormat="false" ht="15" hidden="false" customHeight="false" outlineLevel="0" collapsed="false">
      <c r="A55" s="4" t="s">
        <v>274</v>
      </c>
      <c r="B55" s="5" t="s">
        <v>275</v>
      </c>
      <c r="C55" s="5" t="s">
        <v>276</v>
      </c>
      <c r="D55" s="5" t="s">
        <v>47</v>
      </c>
      <c r="E55" s="5" t="s">
        <v>70</v>
      </c>
      <c r="F55" s="5" t="s">
        <v>277</v>
      </c>
      <c r="G55" s="5" t="s">
        <v>172</v>
      </c>
      <c r="H55" s="5" t="s">
        <v>96</v>
      </c>
      <c r="I55" s="5" t="s">
        <v>278</v>
      </c>
      <c r="J55" s="5" t="s">
        <v>15</v>
      </c>
      <c r="K55" s="5" t="s">
        <v>279</v>
      </c>
    </row>
    <row r="56" customFormat="false" ht="15" hidden="false" customHeight="false" outlineLevel="0" collapsed="false">
      <c r="A56" s="4" t="s">
        <v>280</v>
      </c>
      <c r="B56" s="5" t="s">
        <v>275</v>
      </c>
      <c r="C56" s="5" t="s">
        <v>281</v>
      </c>
      <c r="D56" s="5" t="s">
        <v>47</v>
      </c>
      <c r="E56" s="5" t="s">
        <v>70</v>
      </c>
      <c r="F56" s="5" t="s">
        <v>282</v>
      </c>
      <c r="G56" s="5" t="s">
        <v>172</v>
      </c>
      <c r="H56" s="5" t="s">
        <v>96</v>
      </c>
      <c r="I56" s="5" t="s">
        <v>278</v>
      </c>
      <c r="J56" s="5" t="s">
        <v>15</v>
      </c>
      <c r="K56" s="5" t="s">
        <v>283</v>
      </c>
    </row>
    <row r="57" customFormat="false" ht="15" hidden="false" customHeight="false" outlineLevel="0" collapsed="false">
      <c r="A57" s="4" t="s">
        <v>284</v>
      </c>
      <c r="B57" s="5" t="s">
        <v>275</v>
      </c>
      <c r="C57" s="5" t="s">
        <v>285</v>
      </c>
      <c r="D57" s="5" t="s">
        <v>47</v>
      </c>
      <c r="E57" s="5" t="s">
        <v>70</v>
      </c>
      <c r="F57" s="5" t="s">
        <v>286</v>
      </c>
      <c r="G57" s="5" t="s">
        <v>172</v>
      </c>
      <c r="H57" s="5" t="s">
        <v>229</v>
      </c>
      <c r="I57" s="5" t="s">
        <v>278</v>
      </c>
      <c r="J57" s="5" t="s">
        <v>15</v>
      </c>
      <c r="K57" s="5"/>
    </row>
    <row r="58" customFormat="false" ht="15" hidden="false" customHeight="false" outlineLevel="0" collapsed="false">
      <c r="A58" s="4" t="s">
        <v>287</v>
      </c>
      <c r="B58" s="5" t="s">
        <v>275</v>
      </c>
      <c r="C58" s="5" t="s">
        <v>288</v>
      </c>
      <c r="D58" s="5" t="s">
        <v>47</v>
      </c>
      <c r="E58" s="5" t="s">
        <v>289</v>
      </c>
      <c r="F58" s="5" t="s">
        <v>290</v>
      </c>
      <c r="G58" s="5" t="s">
        <v>132</v>
      </c>
      <c r="H58" s="5" t="s">
        <v>229</v>
      </c>
      <c r="I58" s="5" t="s">
        <v>97</v>
      </c>
      <c r="J58" s="5" t="s">
        <v>15</v>
      </c>
      <c r="K58" s="5" t="s">
        <v>291</v>
      </c>
    </row>
    <row r="59" customFormat="false" ht="15" hidden="false" customHeight="false" outlineLevel="0" collapsed="false">
      <c r="A59" s="4" t="s">
        <v>292</v>
      </c>
      <c r="B59" s="5" t="s">
        <v>275</v>
      </c>
      <c r="C59" s="5" t="s">
        <v>293</v>
      </c>
      <c r="D59" s="5" t="s">
        <v>47</v>
      </c>
      <c r="E59" s="5" t="s">
        <v>70</v>
      </c>
      <c r="F59" s="5" t="s">
        <v>294</v>
      </c>
      <c r="G59" s="5" t="s">
        <v>172</v>
      </c>
      <c r="H59" s="5" t="s">
        <v>96</v>
      </c>
      <c r="I59" s="5" t="s">
        <v>148</v>
      </c>
      <c r="J59" s="5" t="s">
        <v>15</v>
      </c>
      <c r="K59" s="5"/>
    </row>
    <row r="60" customFormat="false" ht="15" hidden="false" customHeight="false" outlineLevel="0" collapsed="false">
      <c r="A60" s="4" t="s">
        <v>295</v>
      </c>
      <c r="B60" s="5" t="s">
        <v>296</v>
      </c>
      <c r="C60" s="5" t="s">
        <v>297</v>
      </c>
      <c r="D60" s="5" t="s">
        <v>47</v>
      </c>
      <c r="E60" s="5" t="s">
        <v>170</v>
      </c>
      <c r="F60" s="5" t="s">
        <v>298</v>
      </c>
      <c r="G60" s="5" t="s">
        <v>172</v>
      </c>
      <c r="H60" s="5" t="s">
        <v>120</v>
      </c>
      <c r="I60" s="5" t="s">
        <v>173</v>
      </c>
      <c r="J60" s="5" t="s">
        <v>15</v>
      </c>
      <c r="K60" s="5" t="s">
        <v>299</v>
      </c>
    </row>
    <row r="61" customFormat="false" ht="15" hidden="false" customHeight="false" outlineLevel="0" collapsed="false">
      <c r="A61" s="4" t="s">
        <v>300</v>
      </c>
      <c r="B61" s="5" t="s">
        <v>296</v>
      </c>
      <c r="C61" s="5" t="s">
        <v>301</v>
      </c>
      <c r="D61" s="5" t="s">
        <v>47</v>
      </c>
      <c r="E61" s="5" t="s">
        <v>170</v>
      </c>
      <c r="F61" s="5" t="s">
        <v>302</v>
      </c>
      <c r="G61" s="5" t="s">
        <v>172</v>
      </c>
      <c r="H61" s="5" t="s">
        <v>120</v>
      </c>
      <c r="I61" s="5" t="s">
        <v>173</v>
      </c>
      <c r="J61" s="5" t="s">
        <v>15</v>
      </c>
      <c r="K61" s="5"/>
    </row>
    <row r="62" customFormat="false" ht="15" hidden="false" customHeight="false" outlineLevel="0" collapsed="false">
      <c r="A62" s="4" t="s">
        <v>303</v>
      </c>
      <c r="B62" s="5" t="s">
        <v>296</v>
      </c>
      <c r="C62" s="5" t="s">
        <v>304</v>
      </c>
      <c r="D62" s="5" t="s">
        <v>47</v>
      </c>
      <c r="E62" s="5" t="s">
        <v>170</v>
      </c>
      <c r="F62" s="5" t="s">
        <v>305</v>
      </c>
      <c r="G62" s="5" t="s">
        <v>172</v>
      </c>
      <c r="H62" s="5" t="s">
        <v>120</v>
      </c>
      <c r="I62" s="5" t="s">
        <v>173</v>
      </c>
      <c r="J62" s="5" t="s">
        <v>15</v>
      </c>
      <c r="K62" s="5"/>
    </row>
    <row r="63" customFormat="false" ht="15" hidden="false" customHeight="false" outlineLevel="0" collapsed="false">
      <c r="A63" s="4" t="s">
        <v>306</v>
      </c>
      <c r="B63" s="5" t="s">
        <v>296</v>
      </c>
      <c r="C63" s="5" t="s">
        <v>307</v>
      </c>
      <c r="D63" s="5" t="s">
        <v>47</v>
      </c>
      <c r="E63" s="5" t="s">
        <v>170</v>
      </c>
      <c r="F63" s="5" t="s">
        <v>308</v>
      </c>
      <c r="G63" s="5" t="s">
        <v>172</v>
      </c>
      <c r="H63" s="5" t="s">
        <v>120</v>
      </c>
      <c r="I63" s="5" t="s">
        <v>173</v>
      </c>
      <c r="J63" s="5" t="s">
        <v>15</v>
      </c>
      <c r="K63" s="5"/>
    </row>
    <row r="64" customFormat="false" ht="15" hidden="false" customHeight="false" outlineLevel="0" collapsed="false">
      <c r="A64" s="4" t="s">
        <v>309</v>
      </c>
      <c r="B64" s="5" t="s">
        <v>296</v>
      </c>
      <c r="C64" s="5" t="s">
        <v>310</v>
      </c>
      <c r="D64" s="5" t="s">
        <v>47</v>
      </c>
      <c r="E64" s="5" t="s">
        <v>58</v>
      </c>
      <c r="F64" s="5" t="s">
        <v>311</v>
      </c>
      <c r="G64" s="5" t="s">
        <v>172</v>
      </c>
      <c r="H64" s="5" t="s">
        <v>120</v>
      </c>
      <c r="I64" s="5" t="s">
        <v>173</v>
      </c>
      <c r="J64" s="5" t="s">
        <v>15</v>
      </c>
      <c r="K64" s="5"/>
    </row>
    <row r="65" customFormat="false" ht="15" hidden="false" customHeight="false" outlineLevel="0" collapsed="false">
      <c r="A65" s="6" t="s">
        <v>312</v>
      </c>
      <c r="B65" s="7" t="s">
        <v>313</v>
      </c>
      <c r="C65" s="7" t="s">
        <v>314</v>
      </c>
      <c r="D65" s="7" t="s">
        <v>108</v>
      </c>
      <c r="E65" s="7" t="s">
        <v>315</v>
      </c>
      <c r="F65" s="7" t="s">
        <v>316</v>
      </c>
      <c r="G65" s="7" t="s">
        <v>95</v>
      </c>
      <c r="H65" s="7" t="s">
        <v>96</v>
      </c>
      <c r="I65" s="7" t="s">
        <v>97</v>
      </c>
      <c r="J65" s="7" t="s">
        <v>15</v>
      </c>
      <c r="K65" s="7" t="s">
        <v>317</v>
      </c>
    </row>
    <row r="66" customFormat="false" ht="15" hidden="false" customHeight="false" outlineLevel="0" collapsed="false">
      <c r="A66" s="6" t="s">
        <v>318</v>
      </c>
      <c r="B66" s="7" t="s">
        <v>313</v>
      </c>
      <c r="C66" s="7" t="s">
        <v>319</v>
      </c>
      <c r="D66" s="7" t="s">
        <v>108</v>
      </c>
      <c r="E66" s="7" t="s">
        <v>315</v>
      </c>
      <c r="F66" s="7" t="s">
        <v>316</v>
      </c>
      <c r="G66" s="7" t="s">
        <v>95</v>
      </c>
      <c r="H66" s="7" t="s">
        <v>96</v>
      </c>
      <c r="I66" s="7" t="s">
        <v>97</v>
      </c>
      <c r="J66" s="7" t="s">
        <v>15</v>
      </c>
      <c r="K66" s="7"/>
    </row>
    <row r="67" customFormat="false" ht="15" hidden="false" customHeight="false" outlineLevel="0" collapsed="false">
      <c r="A67" s="4" t="s">
        <v>320</v>
      </c>
      <c r="B67" s="5" t="s">
        <v>313</v>
      </c>
      <c r="C67" s="5" t="s">
        <v>321</v>
      </c>
      <c r="D67" s="5" t="s">
        <v>47</v>
      </c>
      <c r="E67" s="5" t="s">
        <v>322</v>
      </c>
      <c r="F67" s="5" t="s">
        <v>316</v>
      </c>
      <c r="G67" s="5" t="s">
        <v>132</v>
      </c>
      <c r="H67" s="5" t="s">
        <v>96</v>
      </c>
      <c r="I67" s="5" t="s">
        <v>97</v>
      </c>
      <c r="J67" s="5" t="s">
        <v>15</v>
      </c>
      <c r="K67" s="5" t="s">
        <v>323</v>
      </c>
    </row>
    <row r="68" customFormat="false" ht="15" hidden="false" customHeight="false" outlineLevel="0" collapsed="false">
      <c r="A68" s="6" t="s">
        <v>324</v>
      </c>
      <c r="B68" s="7" t="s">
        <v>313</v>
      </c>
      <c r="C68" s="7" t="s">
        <v>325</v>
      </c>
      <c r="D68" s="7" t="s">
        <v>108</v>
      </c>
      <c r="E68" s="7" t="s">
        <v>315</v>
      </c>
      <c r="F68" s="7" t="s">
        <v>316</v>
      </c>
      <c r="G68" s="7" t="s">
        <v>95</v>
      </c>
      <c r="H68" s="7" t="s">
        <v>96</v>
      </c>
      <c r="I68" s="7" t="s">
        <v>97</v>
      </c>
      <c r="J68" s="7" t="s">
        <v>15</v>
      </c>
      <c r="K68" s="7" t="s">
        <v>326</v>
      </c>
    </row>
    <row r="69" customFormat="false" ht="15" hidden="false" customHeight="false" outlineLevel="0" collapsed="false">
      <c r="A69" s="4" t="s">
        <v>327</v>
      </c>
      <c r="B69" s="5" t="s">
        <v>313</v>
      </c>
      <c r="C69" s="5" t="s">
        <v>328</v>
      </c>
      <c r="D69" s="5" t="s">
        <v>47</v>
      </c>
      <c r="E69" s="5" t="s">
        <v>322</v>
      </c>
      <c r="F69" s="5" t="s">
        <v>316</v>
      </c>
      <c r="G69" s="5" t="s">
        <v>132</v>
      </c>
      <c r="H69" s="5" t="s">
        <v>96</v>
      </c>
      <c r="I69" s="5" t="s">
        <v>97</v>
      </c>
      <c r="J69" s="5" t="s">
        <v>15</v>
      </c>
      <c r="K69" s="5" t="s">
        <v>329</v>
      </c>
    </row>
    <row r="70" customFormat="false" ht="15" hidden="false" customHeight="false" outlineLevel="0" collapsed="false">
      <c r="A70" s="4" t="s">
        <v>330</v>
      </c>
      <c r="B70" s="5" t="s">
        <v>313</v>
      </c>
      <c r="C70" s="5" t="s">
        <v>331</v>
      </c>
      <c r="D70" s="5" t="s">
        <v>47</v>
      </c>
      <c r="E70" s="5" t="s">
        <v>45</v>
      </c>
      <c r="F70" s="5" t="s">
        <v>158</v>
      </c>
      <c r="G70" s="5" t="s">
        <v>132</v>
      </c>
      <c r="H70" s="5" t="s">
        <v>96</v>
      </c>
      <c r="I70" s="5" t="s">
        <v>97</v>
      </c>
      <c r="J70" s="5" t="s">
        <v>15</v>
      </c>
      <c r="K70" s="5" t="s">
        <v>332</v>
      </c>
    </row>
    <row r="71" customFormat="false" ht="15" hidden="false" customHeight="false" outlineLevel="0" collapsed="false">
      <c r="A71" s="4" t="s">
        <v>333</v>
      </c>
      <c r="B71" s="5" t="s">
        <v>313</v>
      </c>
      <c r="C71" s="5" t="s">
        <v>334</v>
      </c>
      <c r="D71" s="5" t="s">
        <v>47</v>
      </c>
      <c r="E71" s="5" t="s">
        <v>130</v>
      </c>
      <c r="F71" s="5" t="s">
        <v>335</v>
      </c>
      <c r="G71" s="5" t="s">
        <v>132</v>
      </c>
      <c r="H71" s="5" t="s">
        <v>133</v>
      </c>
      <c r="I71" s="5" t="s">
        <v>97</v>
      </c>
      <c r="J71" s="5" t="s">
        <v>15</v>
      </c>
      <c r="K71" s="5" t="s">
        <v>182</v>
      </c>
    </row>
    <row r="72" customFormat="false" ht="15" hidden="false" customHeight="false" outlineLevel="0" collapsed="false">
      <c r="A72" s="4" t="s">
        <v>336</v>
      </c>
      <c r="B72" s="5" t="s">
        <v>313</v>
      </c>
      <c r="C72" s="5" t="s">
        <v>337</v>
      </c>
      <c r="D72" s="5" t="s">
        <v>47</v>
      </c>
      <c r="E72" s="5" t="s">
        <v>322</v>
      </c>
      <c r="F72" s="5" t="s">
        <v>316</v>
      </c>
      <c r="G72" s="5" t="s">
        <v>132</v>
      </c>
      <c r="H72" s="5" t="s">
        <v>96</v>
      </c>
      <c r="I72" s="5" t="s">
        <v>97</v>
      </c>
      <c r="J72" s="5" t="s">
        <v>15</v>
      </c>
      <c r="K72" s="5"/>
    </row>
    <row r="73" customFormat="false" ht="15" hidden="false" customHeight="false" outlineLevel="0" collapsed="false">
      <c r="A73" s="2" t="s">
        <v>338</v>
      </c>
      <c r="B73" s="3" t="s">
        <v>339</v>
      </c>
      <c r="C73" s="3" t="s">
        <v>340</v>
      </c>
      <c r="D73" s="3" t="s">
        <v>11</v>
      </c>
      <c r="E73" s="3" t="s">
        <v>341</v>
      </c>
      <c r="F73" s="3" t="s">
        <v>342</v>
      </c>
      <c r="G73" s="3" t="s">
        <v>343</v>
      </c>
      <c r="H73" s="3" t="s">
        <v>15</v>
      </c>
      <c r="I73" s="3" t="s">
        <v>15</v>
      </c>
      <c r="J73" s="3" t="s">
        <v>344</v>
      </c>
      <c r="K73" s="3" t="s">
        <v>345</v>
      </c>
    </row>
    <row r="74" customFormat="false" ht="15" hidden="false" customHeight="false" outlineLevel="0" collapsed="false">
      <c r="A74" s="2" t="s">
        <v>346</v>
      </c>
      <c r="B74" s="3" t="s">
        <v>339</v>
      </c>
      <c r="C74" s="3" t="s">
        <v>347</v>
      </c>
      <c r="D74" s="3" t="s">
        <v>11</v>
      </c>
      <c r="E74" s="3" t="s">
        <v>38</v>
      </c>
      <c r="F74" s="3" t="s">
        <v>348</v>
      </c>
      <c r="G74" s="3" t="s">
        <v>343</v>
      </c>
      <c r="H74" s="3" t="s">
        <v>15</v>
      </c>
      <c r="I74" s="3" t="s">
        <v>15</v>
      </c>
      <c r="J74" s="3" t="s">
        <v>349</v>
      </c>
      <c r="K74" s="3" t="s">
        <v>350</v>
      </c>
    </row>
    <row r="75" customFormat="false" ht="15" hidden="false" customHeight="false" outlineLevel="0" collapsed="false">
      <c r="A75" s="2" t="s">
        <v>351</v>
      </c>
      <c r="B75" s="3" t="s">
        <v>339</v>
      </c>
      <c r="C75" s="3" t="s">
        <v>352</v>
      </c>
      <c r="D75" s="3" t="s">
        <v>11</v>
      </c>
      <c r="E75" s="3" t="s">
        <v>38</v>
      </c>
      <c r="F75" s="3" t="s">
        <v>353</v>
      </c>
      <c r="G75" s="3" t="s">
        <v>95</v>
      </c>
      <c r="H75" s="3" t="s">
        <v>15</v>
      </c>
      <c r="I75" s="3" t="s">
        <v>15</v>
      </c>
      <c r="J75" s="3" t="s">
        <v>354</v>
      </c>
      <c r="K75" s="3" t="s">
        <v>355</v>
      </c>
    </row>
    <row r="76" customFormat="false" ht="15" hidden="false" customHeight="false" outlineLevel="0" collapsed="false">
      <c r="A76" s="6" t="s">
        <v>356</v>
      </c>
      <c r="B76" s="7" t="s">
        <v>339</v>
      </c>
      <c r="C76" s="7" t="s">
        <v>357</v>
      </c>
      <c r="D76" s="7" t="s">
        <v>108</v>
      </c>
      <c r="E76" s="7" t="s">
        <v>64</v>
      </c>
      <c r="F76" s="7" t="s">
        <v>358</v>
      </c>
      <c r="G76" s="7" t="s">
        <v>343</v>
      </c>
      <c r="H76" s="7" t="s">
        <v>15</v>
      </c>
      <c r="I76" s="7" t="s">
        <v>15</v>
      </c>
      <c r="J76" s="7" t="s">
        <v>15</v>
      </c>
      <c r="K76" s="7" t="s">
        <v>359</v>
      </c>
    </row>
    <row r="77" customFormat="false" ht="15" hidden="false" customHeight="false" outlineLevel="0" collapsed="false">
      <c r="A77" s="4" t="s">
        <v>360</v>
      </c>
      <c r="B77" s="5" t="s">
        <v>339</v>
      </c>
      <c r="C77" s="5" t="s">
        <v>361</v>
      </c>
      <c r="D77" s="5" t="s">
        <v>47</v>
      </c>
      <c r="E77" s="5" t="s">
        <v>52</v>
      </c>
      <c r="F77" s="5" t="s">
        <v>362</v>
      </c>
      <c r="G77" s="5" t="s">
        <v>363</v>
      </c>
      <c r="H77" s="5" t="s">
        <v>15</v>
      </c>
      <c r="I77" s="5" t="s">
        <v>15</v>
      </c>
      <c r="J77" s="5" t="s">
        <v>15</v>
      </c>
      <c r="K77" s="5" t="s">
        <v>54</v>
      </c>
    </row>
    <row r="78" customFormat="false" ht="15" hidden="false" customHeight="false" outlineLevel="0" collapsed="false">
      <c r="A78" s="4" t="s">
        <v>364</v>
      </c>
      <c r="B78" s="5" t="s">
        <v>339</v>
      </c>
      <c r="C78" s="5" t="s">
        <v>365</v>
      </c>
      <c r="D78" s="5" t="s">
        <v>47</v>
      </c>
      <c r="E78" s="5" t="s">
        <v>170</v>
      </c>
      <c r="F78" s="5" t="s">
        <v>366</v>
      </c>
      <c r="G78" s="5" t="s">
        <v>343</v>
      </c>
      <c r="H78" s="5" t="s">
        <v>15</v>
      </c>
      <c r="I78" s="5" t="s">
        <v>15</v>
      </c>
      <c r="J78" s="5" t="s">
        <v>15</v>
      </c>
      <c r="K78" s="5"/>
    </row>
    <row r="79" customFormat="false" ht="15" hidden="false" customHeight="false" outlineLevel="0" collapsed="false">
      <c r="A79" s="4" t="s">
        <v>367</v>
      </c>
      <c r="B79" s="5" t="s">
        <v>339</v>
      </c>
      <c r="C79" s="5" t="s">
        <v>368</v>
      </c>
      <c r="D79" s="5" t="s">
        <v>47</v>
      </c>
      <c r="E79" s="5" t="s">
        <v>58</v>
      </c>
      <c r="F79" s="5" t="s">
        <v>369</v>
      </c>
      <c r="G79" s="5" t="s">
        <v>343</v>
      </c>
      <c r="H79" s="5" t="s">
        <v>15</v>
      </c>
      <c r="I79" s="5" t="s">
        <v>15</v>
      </c>
      <c r="J79" s="5" t="s">
        <v>15</v>
      </c>
      <c r="K79" s="5" t="s">
        <v>370</v>
      </c>
    </row>
    <row r="80" customFormat="false" ht="15" hidden="false" customHeight="false" outlineLevel="0" collapsed="false">
      <c r="A80" s="4" t="s">
        <v>371</v>
      </c>
      <c r="B80" s="5" t="s">
        <v>339</v>
      </c>
      <c r="C80" s="5" t="s">
        <v>372</v>
      </c>
      <c r="D80" s="5" t="s">
        <v>47</v>
      </c>
      <c r="E80" s="5" t="s">
        <v>64</v>
      </c>
      <c r="F80" s="5" t="s">
        <v>373</v>
      </c>
      <c r="G80" s="5" t="s">
        <v>343</v>
      </c>
      <c r="H80" s="5" t="s">
        <v>15</v>
      </c>
      <c r="I80" s="5" t="s">
        <v>15</v>
      </c>
      <c r="J80" s="5" t="s">
        <v>15</v>
      </c>
      <c r="K80" s="5" t="s">
        <v>374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</cols>
  <sheetData>
    <row r="1" customFormat="false" ht="19.7" hidden="false" customHeight="false" outlineLevel="0" collapsed="false">
      <c r="A1" s="8" t="s">
        <v>375</v>
      </c>
      <c r="B1" s="8"/>
      <c r="C1" s="8"/>
      <c r="D1" s="8"/>
      <c r="E1" s="8"/>
      <c r="F1" s="8"/>
    </row>
    <row r="3" customFormat="false" ht="16.15" hidden="false" customHeight="false" outlineLevel="0" collapsed="false">
      <c r="A3" s="9" t="s">
        <v>376</v>
      </c>
    </row>
    <row r="4" customFormat="false" ht="15" hidden="false" customHeight="false" outlineLevel="0" collapsed="false">
      <c r="A4" s="1" t="s">
        <v>2</v>
      </c>
      <c r="B4" s="1" t="s">
        <v>377</v>
      </c>
      <c r="C4" s="1" t="s">
        <v>378</v>
      </c>
    </row>
    <row r="5" customFormat="false" ht="15" hidden="false" customHeight="false" outlineLevel="0" collapsed="false">
      <c r="A5" s="10" t="s">
        <v>11</v>
      </c>
      <c r="B5" s="10" t="n">
        <f aca="false">COUNTIF(Capabilities!D:D,"*Done*")</f>
        <v>6</v>
      </c>
      <c r="C5" s="11" t="n">
        <f aca="false">B5/B8</f>
        <v>0.0759493670886076</v>
      </c>
    </row>
    <row r="6" customFormat="false" ht="15" hidden="false" customHeight="false" outlineLevel="0" collapsed="false">
      <c r="A6" s="12" t="s">
        <v>108</v>
      </c>
      <c r="B6" s="12" t="n">
        <f aca="false">COUNTIF(Capabilities!D:D,"*Partial*")</f>
        <v>10</v>
      </c>
      <c r="C6" s="13" t="n">
        <f aca="false">B6/B8</f>
        <v>0.126582278481013</v>
      </c>
    </row>
    <row r="7" customFormat="false" ht="15" hidden="false" customHeight="false" outlineLevel="0" collapsed="false">
      <c r="A7" s="14" t="s">
        <v>47</v>
      </c>
      <c r="B7" s="14" t="n">
        <f aca="false">COUNTIF(Capabilities!D:D,"*Todo*")</f>
        <v>63</v>
      </c>
      <c r="C7" s="15" t="n">
        <f aca="false">B7/B8</f>
        <v>0.79746835443038</v>
      </c>
    </row>
    <row r="8" customFormat="false" ht="15" hidden="false" customHeight="false" outlineLevel="0" collapsed="false">
      <c r="A8" s="16" t="s">
        <v>379</v>
      </c>
      <c r="B8" s="16" t="n">
        <f aca="false">SUM(B5:B7)</f>
        <v>79</v>
      </c>
      <c r="C8" s="17" t="n">
        <f aca="false">B8/B8</f>
        <v>1</v>
      </c>
    </row>
    <row r="10" customFormat="false" ht="16.15" hidden="false" customHeight="false" outlineLevel="0" collapsed="false">
      <c r="A10" s="9" t="s">
        <v>380</v>
      </c>
    </row>
    <row r="11" customFormat="false" ht="15" hidden="false" customHeight="false" outlineLevel="0" collapsed="false">
      <c r="A11" s="1" t="s">
        <v>83</v>
      </c>
      <c r="B11" s="1" t="s">
        <v>379</v>
      </c>
      <c r="C11" s="1" t="s">
        <v>381</v>
      </c>
      <c r="D11" s="1" t="s">
        <v>382</v>
      </c>
      <c r="E11" s="1" t="s">
        <v>383</v>
      </c>
      <c r="F11" s="1" t="s">
        <v>384</v>
      </c>
    </row>
    <row r="12" customFormat="false" ht="15" hidden="false" customHeight="false" outlineLevel="0" collapsed="false">
      <c r="A12" s="16" t="s">
        <v>91</v>
      </c>
      <c r="B12" s="16" t="n">
        <f aca="false">COUNTIF(Capabilities!B:B,"Locomotion")</f>
        <v>18</v>
      </c>
      <c r="C12" s="16" t="n">
        <f aca="false">COUNTIFS(Capabilities!B:B,"Locomotion",Capabilities!D:D,"*Done*")</f>
        <v>3</v>
      </c>
      <c r="D12" s="16" t="n">
        <f aca="false">COUNTIFS(Capabilities!B:B,"Locomotion",Capabilities!D:D,"*Partial*")</f>
        <v>4</v>
      </c>
      <c r="E12" s="16" t="n">
        <f aca="false">COUNTIFS(Capabilities!B:B,"Locomotion",Capabilities!D:D,"*Todo*")</f>
        <v>11</v>
      </c>
      <c r="F12" s="17" t="n">
        <f aca="false">(C12+D12*0.5)/B12</f>
        <v>0.277777777777778</v>
      </c>
    </row>
    <row r="13" customFormat="false" ht="15" hidden="false" customHeight="false" outlineLevel="0" collapsed="false">
      <c r="A13" s="16" t="s">
        <v>149</v>
      </c>
      <c r="B13" s="16" t="n">
        <f aca="false">COUNTIF(Capabilities!B:B,"Balance")</f>
        <v>12</v>
      </c>
      <c r="C13" s="16" t="n">
        <f aca="false">COUNTIFS(Capabilities!B:B,"Balance",Capabilities!D:D,"*Done*")</f>
        <v>0</v>
      </c>
      <c r="D13" s="16" t="n">
        <f aca="false">COUNTIFS(Capabilities!B:B,"Balance",Capabilities!D:D,"*Partial*")</f>
        <v>2</v>
      </c>
      <c r="E13" s="16" t="n">
        <f aca="false">COUNTIFS(Capabilities!B:B,"Balance",Capabilities!D:D,"*Todo*")</f>
        <v>10</v>
      </c>
      <c r="F13" s="17" t="n">
        <f aca="false">(C13+D13*0.5)/B13</f>
        <v>0.0833333333333333</v>
      </c>
    </row>
    <row r="14" customFormat="false" ht="15" hidden="false" customHeight="false" outlineLevel="0" collapsed="false">
      <c r="A14" s="16" t="s">
        <v>192</v>
      </c>
      <c r="B14" s="16" t="n">
        <f aca="false">COUNTIF(Capabilities!B:B,"Posture")</f>
        <v>8</v>
      </c>
      <c r="C14" s="16" t="n">
        <f aca="false">COUNTIFS(Capabilities!B:B,"Posture",Capabilities!D:D,"*Done*")</f>
        <v>0</v>
      </c>
      <c r="D14" s="16" t="n">
        <f aca="false">COUNTIFS(Capabilities!B:B,"Posture",Capabilities!D:D,"*Partial*")</f>
        <v>0</v>
      </c>
      <c r="E14" s="16" t="n">
        <f aca="false">COUNTIFS(Capabilities!B:B,"Posture",Capabilities!D:D,"*Todo*")</f>
        <v>8</v>
      </c>
      <c r="F14" s="17" t="n">
        <f aca="false">(C14+D14*0.5)/B14</f>
        <v>0</v>
      </c>
    </row>
    <row r="15" customFormat="false" ht="15" hidden="false" customHeight="false" outlineLevel="0" collapsed="false">
      <c r="A15" s="16" t="s">
        <v>215</v>
      </c>
      <c r="B15" s="16" t="n">
        <f aca="false">COUNTIF(Capabilities!B:B,"Manipulation")</f>
        <v>15</v>
      </c>
      <c r="C15" s="16" t="n">
        <f aca="false">COUNTIFS(Capabilities!B:B,"Manipulation",Capabilities!D:D,"*Done*")</f>
        <v>0</v>
      </c>
      <c r="D15" s="16" t="n">
        <f aca="false">COUNTIFS(Capabilities!B:B,"Manipulation",Capabilities!D:D,"*Partial*")</f>
        <v>0</v>
      </c>
      <c r="E15" s="16" t="n">
        <f aca="false">COUNTIFS(Capabilities!B:B,"Manipulation",Capabilities!D:D,"*Todo*")</f>
        <v>15</v>
      </c>
      <c r="F15" s="17" t="n">
        <f aca="false">(C15+D15*0.5)/B15</f>
        <v>0</v>
      </c>
    </row>
    <row r="16" customFormat="false" ht="15" hidden="false" customHeight="false" outlineLevel="0" collapsed="false">
      <c r="A16" s="16" t="s">
        <v>275</v>
      </c>
      <c r="B16" s="16" t="n">
        <f aca="false">COUNTIF(Capabilities!B:B,"Compliance")</f>
        <v>5</v>
      </c>
      <c r="C16" s="16" t="n">
        <f aca="false">COUNTIFS(Capabilities!B:B,"Compliance",Capabilities!D:D,"*Done*")</f>
        <v>0</v>
      </c>
      <c r="D16" s="16" t="n">
        <f aca="false">COUNTIFS(Capabilities!B:B,"Compliance",Capabilities!D:D,"*Partial*")</f>
        <v>0</v>
      </c>
      <c r="E16" s="16" t="n">
        <f aca="false">COUNTIFS(Capabilities!B:B,"Compliance",Capabilities!D:D,"*Todo*")</f>
        <v>5</v>
      </c>
      <c r="F16" s="17" t="n">
        <f aca="false">(C16+D16*0.5)/B16</f>
        <v>0</v>
      </c>
    </row>
    <row r="17" customFormat="false" ht="15" hidden="false" customHeight="false" outlineLevel="0" collapsed="false">
      <c r="A17" s="16" t="s">
        <v>296</v>
      </c>
      <c r="B17" s="16" t="n">
        <f aca="false">COUNTIF(Capabilities!B:B,"Whole-Body")</f>
        <v>5</v>
      </c>
      <c r="C17" s="16" t="n">
        <f aca="false">COUNTIFS(Capabilities!B:B,"Whole-Body",Capabilities!D:D,"*Done*")</f>
        <v>0</v>
      </c>
      <c r="D17" s="16" t="n">
        <f aca="false">COUNTIFS(Capabilities!B:B,"Whole-Body",Capabilities!D:D,"*Partial*")</f>
        <v>0</v>
      </c>
      <c r="E17" s="16" t="n">
        <f aca="false">COUNTIFS(Capabilities!B:B,"Whole-Body",Capabilities!D:D,"*Todo*")</f>
        <v>5</v>
      </c>
      <c r="F17" s="17" t="n">
        <f aca="false">(C17+D17*0.5)/B17</f>
        <v>0</v>
      </c>
    </row>
    <row r="18" customFormat="false" ht="15" hidden="false" customHeight="false" outlineLevel="0" collapsed="false">
      <c r="A18" s="16" t="s">
        <v>313</v>
      </c>
      <c r="B18" s="16" t="n">
        <f aca="false">COUNTIF(Capabilities!B:B,"Robustness")</f>
        <v>8</v>
      </c>
      <c r="C18" s="16" t="n">
        <f aca="false">COUNTIFS(Capabilities!B:B,"Robustness",Capabilities!D:D,"*Done*")</f>
        <v>0</v>
      </c>
      <c r="D18" s="16" t="n">
        <f aca="false">COUNTIFS(Capabilities!B:B,"Robustness",Capabilities!D:D,"*Partial*")</f>
        <v>3</v>
      </c>
      <c r="E18" s="16" t="n">
        <f aca="false">COUNTIFS(Capabilities!B:B,"Robustness",Capabilities!D:D,"*Todo*")</f>
        <v>5</v>
      </c>
      <c r="F18" s="17" t="n">
        <f aca="false">(C18+D18*0.5)/B18</f>
        <v>0.1875</v>
      </c>
    </row>
    <row r="19" customFormat="false" ht="15" hidden="false" customHeight="false" outlineLevel="0" collapsed="false">
      <c r="A19" s="16" t="s">
        <v>339</v>
      </c>
      <c r="B19" s="16" t="n">
        <f aca="false">COUNTIF(Capabilities!B:B,"SOMA-Only")</f>
        <v>8</v>
      </c>
      <c r="C19" s="16" t="n">
        <f aca="false">COUNTIFS(Capabilities!B:B,"SOMA-Only",Capabilities!D:D,"*Done*")</f>
        <v>3</v>
      </c>
      <c r="D19" s="16" t="n">
        <f aca="false">COUNTIFS(Capabilities!B:B,"SOMA-Only",Capabilities!D:D,"*Partial*")</f>
        <v>1</v>
      </c>
      <c r="E19" s="16" t="n">
        <f aca="false">COUNTIFS(Capabilities!B:B,"SOMA-Only",Capabilities!D:D,"*Todo*")</f>
        <v>4</v>
      </c>
      <c r="F19" s="17" t="n">
        <f aca="false">(C19+D19*0.5)/B19</f>
        <v>0.4375</v>
      </c>
    </row>
    <row r="21" customFormat="false" ht="16.15" hidden="false" customHeight="false" outlineLevel="0" collapsed="false">
      <c r="A21" s="9" t="s">
        <v>385</v>
      </c>
    </row>
    <row r="22" customFormat="false" ht="15" hidden="false" customHeight="false" outlineLevel="0" collapsed="false">
      <c r="A22" s="1" t="s">
        <v>386</v>
      </c>
      <c r="B22" s="1" t="s">
        <v>387</v>
      </c>
      <c r="C22" s="1" t="s">
        <v>0</v>
      </c>
      <c r="D22" s="1" t="s">
        <v>388</v>
      </c>
    </row>
    <row r="23" customFormat="false" ht="15" hidden="false" customHeight="false" outlineLevel="0" collapsed="false">
      <c r="A23" s="16" t="s">
        <v>389</v>
      </c>
      <c r="B23" s="16" t="s">
        <v>390</v>
      </c>
      <c r="C23" s="16" t="s">
        <v>25</v>
      </c>
      <c r="D23" s="16" t="s">
        <v>31</v>
      </c>
    </row>
    <row r="24" customFormat="false" ht="15" hidden="false" customHeight="false" outlineLevel="0" collapsed="false">
      <c r="A24" s="16" t="s">
        <v>391</v>
      </c>
      <c r="B24" s="16" t="s">
        <v>392</v>
      </c>
      <c r="C24" s="16" t="s">
        <v>38</v>
      </c>
      <c r="D24" s="16" t="s">
        <v>393</v>
      </c>
    </row>
    <row r="25" customFormat="false" ht="15" hidden="false" customHeight="false" outlineLevel="0" collapsed="false">
      <c r="A25" s="16" t="s">
        <v>394</v>
      </c>
      <c r="B25" s="16" t="s">
        <v>395</v>
      </c>
      <c r="C25" s="16" t="s">
        <v>38</v>
      </c>
      <c r="D25" s="16" t="s">
        <v>396</v>
      </c>
    </row>
    <row r="26" customFormat="false" ht="15" hidden="false" customHeight="false" outlineLevel="0" collapsed="false">
      <c r="A26" s="16" t="s">
        <v>397</v>
      </c>
      <c r="B26" s="16" t="s">
        <v>398</v>
      </c>
      <c r="C26" s="16" t="s">
        <v>38</v>
      </c>
      <c r="D26" s="16" t="s">
        <v>399</v>
      </c>
    </row>
    <row r="27" customFormat="false" ht="15" hidden="false" customHeight="false" outlineLevel="0" collapsed="false">
      <c r="A27" s="16" t="s">
        <v>400</v>
      </c>
      <c r="B27" s="16" t="s">
        <v>401</v>
      </c>
      <c r="C27" s="16" t="s">
        <v>38</v>
      </c>
      <c r="D27" s="16" t="s">
        <v>402</v>
      </c>
    </row>
    <row r="28" customFormat="false" ht="15" hidden="false" customHeight="false" outlineLevel="0" collapsed="false">
      <c r="A28" s="16" t="s">
        <v>403</v>
      </c>
      <c r="B28" s="16" t="s">
        <v>404</v>
      </c>
      <c r="C28" s="16" t="s">
        <v>38</v>
      </c>
      <c r="D28" s="16" t="s">
        <v>405</v>
      </c>
    </row>
    <row r="29" customFormat="false" ht="15" hidden="false" customHeight="false" outlineLevel="0" collapsed="false">
      <c r="A29" s="16" t="s">
        <v>406</v>
      </c>
      <c r="B29" s="16" t="s">
        <v>407</v>
      </c>
      <c r="C29" s="16" t="s">
        <v>408</v>
      </c>
      <c r="D29" s="16" t="s">
        <v>409</v>
      </c>
    </row>
    <row r="30" customFormat="false" ht="15" hidden="false" customHeight="false" outlineLevel="0" collapsed="false">
      <c r="A30" s="16" t="s">
        <v>410</v>
      </c>
      <c r="B30" s="16" t="s">
        <v>411</v>
      </c>
      <c r="C30" s="16" t="s">
        <v>412</v>
      </c>
      <c r="D30" s="16" t="s">
        <v>413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32"/>
    <col collapsed="false" customWidth="true" hidden="false" outlineLevel="0" max="4" min="4" style="0" width="50"/>
    <col collapsed="false" customWidth="true" hidden="false" outlineLevel="0" max="5" min="5" style="0" width="28"/>
    <col collapsed="false" customWidth="true" hidden="false" outlineLevel="0" max="6" min="6" style="0" width="50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1" t="s">
        <v>414</v>
      </c>
      <c r="B1" s="1" t="s">
        <v>1</v>
      </c>
      <c r="C1" s="1" t="s">
        <v>415</v>
      </c>
      <c r="D1" s="1" t="s">
        <v>416</v>
      </c>
      <c r="E1" s="1" t="s">
        <v>417</v>
      </c>
      <c r="F1" s="1" t="s">
        <v>418</v>
      </c>
      <c r="G1" s="1" t="s">
        <v>2</v>
      </c>
      <c r="H1" s="1" t="s">
        <v>87</v>
      </c>
    </row>
    <row r="2" customFormat="false" ht="23.85" hidden="false" customHeight="false" outlineLevel="0" collapsed="false">
      <c r="A2" s="2" t="s">
        <v>419</v>
      </c>
      <c r="B2" s="3" t="s">
        <v>420</v>
      </c>
      <c r="C2" s="3" t="s">
        <v>421</v>
      </c>
      <c r="D2" s="3" t="s">
        <v>422</v>
      </c>
      <c r="E2" s="3" t="s">
        <v>423</v>
      </c>
      <c r="F2" s="3" t="s">
        <v>424</v>
      </c>
      <c r="G2" s="3" t="s">
        <v>425</v>
      </c>
      <c r="H2" s="3" t="s">
        <v>95</v>
      </c>
    </row>
    <row r="3" customFormat="false" ht="15" hidden="false" customHeight="false" outlineLevel="0" collapsed="false">
      <c r="A3" s="4" t="s">
        <v>426</v>
      </c>
      <c r="B3" s="5" t="s">
        <v>427</v>
      </c>
      <c r="C3" s="5" t="s">
        <v>428</v>
      </c>
      <c r="D3" s="5" t="s">
        <v>429</v>
      </c>
      <c r="E3" s="5" t="s">
        <v>423</v>
      </c>
      <c r="F3" s="5" t="s">
        <v>430</v>
      </c>
      <c r="G3" s="5" t="s">
        <v>47</v>
      </c>
      <c r="H3" s="5" t="s">
        <v>95</v>
      </c>
    </row>
    <row r="4" customFormat="false" ht="15" hidden="false" customHeight="false" outlineLevel="0" collapsed="false">
      <c r="A4" s="4" t="s">
        <v>431</v>
      </c>
      <c r="B4" s="5" t="s">
        <v>432</v>
      </c>
      <c r="C4" s="5" t="s">
        <v>433</v>
      </c>
      <c r="D4" s="5" t="s">
        <v>434</v>
      </c>
      <c r="E4" s="5" t="s">
        <v>423</v>
      </c>
      <c r="F4" s="5" t="s">
        <v>435</v>
      </c>
      <c r="G4" s="5" t="s">
        <v>47</v>
      </c>
      <c r="H4" s="5" t="s">
        <v>132</v>
      </c>
    </row>
    <row r="5" customFormat="false" ht="23.85" hidden="false" customHeight="false" outlineLevel="0" collapsed="false">
      <c r="A5" s="4" t="s">
        <v>436</v>
      </c>
      <c r="B5" s="5" t="s">
        <v>437</v>
      </c>
      <c r="C5" s="5" t="s">
        <v>438</v>
      </c>
      <c r="D5" s="5" t="s">
        <v>439</v>
      </c>
      <c r="E5" s="5" t="s">
        <v>440</v>
      </c>
      <c r="F5" s="5" t="s">
        <v>441</v>
      </c>
      <c r="G5" s="5" t="s">
        <v>47</v>
      </c>
      <c r="H5" s="5" t="s">
        <v>132</v>
      </c>
    </row>
    <row r="6" customFormat="false" ht="23.85" hidden="false" customHeight="false" outlineLevel="0" collapsed="false">
      <c r="A6" s="6" t="s">
        <v>442</v>
      </c>
      <c r="B6" s="7" t="s">
        <v>443</v>
      </c>
      <c r="C6" s="7" t="s">
        <v>444</v>
      </c>
      <c r="D6" s="7" t="s">
        <v>445</v>
      </c>
      <c r="E6" s="7" t="s">
        <v>440</v>
      </c>
      <c r="F6" s="7" t="s">
        <v>446</v>
      </c>
      <c r="G6" s="7" t="s">
        <v>447</v>
      </c>
      <c r="H6" s="7" t="s">
        <v>132</v>
      </c>
    </row>
    <row r="7" customFormat="false" ht="23.85" hidden="false" customHeight="false" outlineLevel="0" collapsed="false">
      <c r="A7" s="4" t="s">
        <v>448</v>
      </c>
      <c r="B7" s="5" t="s">
        <v>449</v>
      </c>
      <c r="C7" s="5" t="s">
        <v>450</v>
      </c>
      <c r="D7" s="5" t="s">
        <v>451</v>
      </c>
      <c r="E7" s="5" t="s">
        <v>452</v>
      </c>
      <c r="F7" s="5" t="s">
        <v>453</v>
      </c>
      <c r="G7" s="5" t="s">
        <v>47</v>
      </c>
      <c r="H7" s="5" t="s">
        <v>172</v>
      </c>
    </row>
    <row r="8" customFormat="false" ht="23.85" hidden="false" customHeight="false" outlineLevel="0" collapsed="false">
      <c r="A8" s="4" t="s">
        <v>454</v>
      </c>
      <c r="B8" s="5" t="s">
        <v>455</v>
      </c>
      <c r="C8" s="5" t="s">
        <v>456</v>
      </c>
      <c r="D8" s="5" t="s">
        <v>457</v>
      </c>
      <c r="E8" s="5" t="s">
        <v>458</v>
      </c>
      <c r="F8" s="5" t="s">
        <v>459</v>
      </c>
      <c r="G8" s="5" t="s">
        <v>47</v>
      </c>
      <c r="H8" s="5" t="s">
        <v>247</v>
      </c>
    </row>
    <row r="9" customFormat="false" ht="15" hidden="false" customHeight="false" outlineLevel="0" collapsed="false">
      <c r="A9" s="4" t="s">
        <v>460</v>
      </c>
      <c r="B9" s="5" t="s">
        <v>461</v>
      </c>
      <c r="C9" s="5" t="s">
        <v>462</v>
      </c>
      <c r="D9" s="5" t="s">
        <v>463</v>
      </c>
      <c r="E9" s="5" t="s">
        <v>464</v>
      </c>
      <c r="F9" s="5" t="s">
        <v>465</v>
      </c>
      <c r="G9" s="5" t="s">
        <v>47</v>
      </c>
      <c r="H9" s="5" t="s">
        <v>172</v>
      </c>
    </row>
    <row r="10" customFormat="false" ht="15" hidden="false" customHeight="false" outlineLevel="0" collapsed="false">
      <c r="A10" s="4" t="s">
        <v>466</v>
      </c>
      <c r="B10" s="5" t="s">
        <v>467</v>
      </c>
      <c r="C10" s="5" t="s">
        <v>468</v>
      </c>
      <c r="D10" s="5" t="s">
        <v>469</v>
      </c>
      <c r="E10" s="5" t="s">
        <v>470</v>
      </c>
      <c r="F10" s="5" t="s">
        <v>471</v>
      </c>
      <c r="G10" s="5" t="s">
        <v>47</v>
      </c>
      <c r="H10" s="5" t="s">
        <v>172</v>
      </c>
    </row>
    <row r="11" customFormat="false" ht="15" hidden="false" customHeight="false" outlineLevel="0" collapsed="false">
      <c r="A11" s="6" t="s">
        <v>472</v>
      </c>
      <c r="B11" s="7" t="s">
        <v>473</v>
      </c>
      <c r="C11" s="7" t="s">
        <v>474</v>
      </c>
      <c r="D11" s="7" t="s">
        <v>475</v>
      </c>
      <c r="E11" s="7" t="s">
        <v>476</v>
      </c>
      <c r="F11" s="7" t="s">
        <v>477</v>
      </c>
      <c r="G11" s="7" t="s">
        <v>108</v>
      </c>
      <c r="H11" s="7" t="s">
        <v>343</v>
      </c>
    </row>
    <row r="12" customFormat="false" ht="23.85" hidden="false" customHeight="false" outlineLevel="0" collapsed="false">
      <c r="A12" s="6" t="s">
        <v>478</v>
      </c>
      <c r="B12" s="7" t="s">
        <v>479</v>
      </c>
      <c r="C12" s="7" t="s">
        <v>480</v>
      </c>
      <c r="D12" s="7" t="s">
        <v>15</v>
      </c>
      <c r="E12" s="7" t="s">
        <v>15</v>
      </c>
      <c r="F12" s="7" t="s">
        <v>481</v>
      </c>
      <c r="G12" s="7" t="s">
        <v>108</v>
      </c>
      <c r="H12" s="7" t="s">
        <v>343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4444"/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55"/>
    <col collapsed="false" customWidth="true" hidden="false" outlineLevel="0" max="5" min="5" style="0" width="8"/>
    <col collapsed="false" customWidth="true" hidden="false" outlineLevel="0" max="6" min="6" style="0" width="22"/>
    <col collapsed="false" customWidth="true" hidden="false" outlineLevel="0" max="7" min="7" style="0" width="30"/>
    <col collapsed="false" customWidth="true" hidden="false" outlineLevel="0" max="8" min="8" style="0" width="22"/>
  </cols>
  <sheetData>
    <row r="1" customFormat="false" ht="15" hidden="false" customHeight="false" outlineLevel="0" collapsed="false">
      <c r="A1" s="1" t="s">
        <v>482</v>
      </c>
      <c r="B1" s="1" t="s">
        <v>1</v>
      </c>
      <c r="C1" s="1" t="s">
        <v>483</v>
      </c>
      <c r="D1" s="1" t="s">
        <v>484</v>
      </c>
      <c r="E1" s="1" t="s">
        <v>377</v>
      </c>
      <c r="F1" s="1" t="s">
        <v>485</v>
      </c>
      <c r="G1" s="1" t="s">
        <v>486</v>
      </c>
      <c r="H1" s="1" t="s">
        <v>487</v>
      </c>
    </row>
    <row r="2" customFormat="false" ht="23.85" hidden="false" customHeight="false" outlineLevel="0" collapsed="false">
      <c r="A2" s="18" t="s">
        <v>488</v>
      </c>
      <c r="B2" s="19" t="s">
        <v>489</v>
      </c>
      <c r="C2" s="19" t="s">
        <v>490</v>
      </c>
      <c r="D2" s="19" t="s">
        <v>491</v>
      </c>
      <c r="E2" s="19" t="s">
        <v>492</v>
      </c>
      <c r="F2" s="19" t="s">
        <v>493</v>
      </c>
      <c r="G2" s="19" t="s">
        <v>494</v>
      </c>
      <c r="H2" s="19" t="s">
        <v>495</v>
      </c>
    </row>
    <row r="3" customFormat="false" ht="15" hidden="false" customHeight="false" outlineLevel="0" collapsed="false">
      <c r="A3" s="18" t="s">
        <v>496</v>
      </c>
      <c r="B3" s="19" t="s">
        <v>497</v>
      </c>
      <c r="C3" s="19" t="s">
        <v>498</v>
      </c>
      <c r="D3" s="19" t="s">
        <v>499</v>
      </c>
      <c r="E3" s="19" t="s">
        <v>500</v>
      </c>
      <c r="F3" s="19" t="s">
        <v>501</v>
      </c>
      <c r="G3" s="19" t="s">
        <v>502</v>
      </c>
      <c r="H3" s="19" t="s">
        <v>503</v>
      </c>
    </row>
    <row r="4" customFormat="false" ht="23.85" hidden="false" customHeight="false" outlineLevel="0" collapsed="false">
      <c r="A4" s="18" t="s">
        <v>504</v>
      </c>
      <c r="B4" s="19" t="s">
        <v>505</v>
      </c>
      <c r="C4" s="19" t="s">
        <v>506</v>
      </c>
      <c r="D4" s="19" t="s">
        <v>507</v>
      </c>
      <c r="E4" s="19" t="s">
        <v>508</v>
      </c>
      <c r="F4" s="19" t="s">
        <v>509</v>
      </c>
      <c r="G4" s="19" t="s">
        <v>510</v>
      </c>
      <c r="H4" s="19" t="s">
        <v>511</v>
      </c>
    </row>
    <row r="5" customFormat="false" ht="15" hidden="false" customHeight="false" outlineLevel="0" collapsed="false">
      <c r="A5" s="18" t="s">
        <v>512</v>
      </c>
      <c r="B5" s="19" t="s">
        <v>513</v>
      </c>
      <c r="C5" s="19" t="s">
        <v>64</v>
      </c>
      <c r="D5" s="19" t="s">
        <v>514</v>
      </c>
      <c r="E5" s="19" t="s">
        <v>515</v>
      </c>
      <c r="F5" s="19" t="s">
        <v>516</v>
      </c>
      <c r="G5" s="19" t="s">
        <v>517</v>
      </c>
      <c r="H5" s="19" t="s">
        <v>518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2026-02-26T18:13:29Z</dcterms:created>
  <dc:creator>openpyxl</dc:creator>
  <dc:description/>
  <dc:language>en-US</dc:language>
  <cp:lastModifiedBy/>
  <dcterms:modified xsi:type="dcterms:W3CDTF">2026-02-26T18:13:29Z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