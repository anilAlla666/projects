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A" sheetId="1" r:id="rId1"/>
    <sheet name="CP_B" sheetId="2" r:id="rId2"/>
  </sheets>
  <definedNames>
    <definedName name="_xlnm._FilterDatabase" localSheetId="0" hidden="1">CP_A!$A$25:$Q$33</definedName>
    <definedName name="_xlnm._FilterDatabase" localSheetId="1" hidden="1">CP_B!$A$25:$Q$32</definedName>
    <definedName name="_xlnm.Print_Area" localSheetId="0">CP_A!$A$1:$Q$201</definedName>
    <definedName name="_xlnm.Print_Area" localSheetId="1">CP_B!$A$1:$Q$222</definedName>
  </definedNames>
  <calcPr calcId="124519" fullCalcOnLoad="1"/>
</workbook>
</file>

<file path=xl/sharedStrings.xml><?xml version="1.0" encoding="utf-8"?>
<sst xmlns="http://schemas.openxmlformats.org/spreadsheetml/2006/main" count="824" uniqueCount="304">
  <si>
    <t>CP_A  |  EU SA-CCR / CRR3</t>
  </si>
  <si>
    <t>COB 2025-04-29 • 8 legal trades • 8 risk components • Blue = source inputs; black = formulas; green = reported USD results</t>
  </si>
  <si>
    <t>As-of date</t>
  </si>
  <si>
    <t>Alpha</t>
  </si>
  <si>
    <t>SA-CR risk weight</t>
  </si>
  <si>
    <t>Capital ratio</t>
  </si>
  <si>
    <t>ACT/365 denominator</t>
  </si>
  <si>
    <t>Fixed business-year constant</t>
  </si>
  <si>
    <t>Standard MPOR floor / business days</t>
  </si>
  <si>
    <t>Qualifying long disputes</t>
  </si>
  <si>
    <t>Applied MPOR / business days</t>
  </si>
  <si>
    <t>Margined maturity factor</t>
  </si>
  <si>
    <t>PFE multiplier floor</t>
  </si>
  <si>
    <t>Supervisory discount rate</t>
  </si>
  <si>
    <t>Margined indicator (1=yes)</t>
  </si>
  <si>
    <t>10-business-day floor / years</t>
  </si>
  <si>
    <t>Legal trade count</t>
  </si>
  <si>
    <t>EUR/USD spot</t>
  </si>
  <si>
    <t>GBP/USD spot</t>
  </si>
  <si>
    <t>USD/JPY spot</t>
  </si>
  <si>
    <t>USD/USD conversion</t>
  </si>
  <si>
    <t>VM frequency / business days</t>
  </si>
  <si>
    <t>CSA amendment date</t>
  </si>
  <si>
    <t>No CSA</t>
  </si>
  <si>
    <t>Counterparty type</t>
  </si>
  <si>
    <t>Corporate</t>
  </si>
  <si>
    <t>Jurisdiction</t>
  </si>
  <si>
    <t>US</t>
  </si>
  <si>
    <t>External rating</t>
  </si>
  <si>
    <t>BBB</t>
  </si>
  <si>
    <t>Ordinary hedging-set coefficient</t>
  </si>
  <si>
    <t>Dispute initiation window: start</t>
  </si>
  <si>
    <t>Dispute initiation window: end</t>
  </si>
  <si>
    <t>Expected legal trade count</t>
  </si>
  <si>
    <t>Net current market value / USD</t>
  </si>
  <si>
    <t>Current VM held / USD</t>
  </si>
  <si>
    <t>Our threshold / EUR</t>
  </si>
  <si>
    <t>Their threshold / EUR</t>
  </si>
  <si>
    <t>MTA / EUR</t>
  </si>
  <si>
    <t>Our posted IA / EUR</t>
  </si>
  <si>
    <t>Received IA / EUR</t>
  </si>
  <si>
    <t>Posted IA bankruptcy-remote (1=yes)</t>
  </si>
  <si>
    <t>Recognised posted IA / USD</t>
  </si>
  <si>
    <t>Recognised received IA / USD</t>
  </si>
  <si>
    <t>Net independent collateral / USD</t>
  </si>
  <si>
    <t>Threshold used / USD</t>
  </si>
  <si>
    <t>MTA used / USD</t>
  </si>
  <si>
    <t>Total C = VM + NICA / USD</t>
  </si>
  <si>
    <t>CMV − C / USD</t>
  </si>
  <si>
    <t>Includes EQ-OPT-001, booked 2025-04-21: a sold single-name put in the existing mixed netting set; no sold-options-only exemption.</t>
  </si>
  <si>
    <t>Option delta uses supervisory volatility 120% and supplied option T = 0.4849. Its MF uses the exact 177/365 remaining maturity, not the rounded option T.</t>
  </si>
  <si>
    <t>Brent and Gold are separate Energy and Metals hedging sets. No diversification is taken across asset classes or commodity hedging sets.</t>
  </si>
  <si>
    <t>TRADE-LEVEL WORKINGS — d_adj AND EFFECTIVE NOTIONAL IN USD</t>
  </si>
  <si>
    <t>Trade / risk component</t>
  </si>
  <si>
    <t>Class</t>
  </si>
  <si>
    <t>Hedging set</t>
  </si>
  <si>
    <t>d_adj / USD</t>
  </si>
  <si>
    <t>Supervisory delta</t>
  </si>
  <si>
    <t>MF</t>
  </si>
  <si>
    <t>Effective notional / USD</t>
  </si>
  <si>
    <t>S / ACT/365</t>
  </si>
  <si>
    <t>E = M / ACT/365</t>
  </si>
  <si>
    <t>SD (1 if N/A)</t>
  </si>
  <si>
    <t>IR bucket</t>
  </si>
  <si>
    <t>SF</t>
  </si>
  <si>
    <t>ρ (0 if N/A)</t>
  </si>
  <si>
    <t>MTM / USD, counted once</t>
  </si>
  <si>
    <t>Reference / risk driver</t>
  </si>
  <si>
    <t>Unmargined MF</t>
  </si>
  <si>
    <t>Unmargined effective / USD</t>
  </si>
  <si>
    <t>IRS-USD-001</t>
  </si>
  <si>
    <t>IR</t>
  </si>
  <si>
    <t>USD</t>
  </si>
  <si>
    <t>USD rates</t>
  </si>
  <si>
    <t>IRS-USD-002</t>
  </si>
  <si>
    <t>IRS-USD-003</t>
  </si>
  <si>
    <t>FXF-001</t>
  </si>
  <si>
    <t>FX</t>
  </si>
  <si>
    <t>USD/JPY</t>
  </si>
  <si>
    <t>FXF-002</t>
  </si>
  <si>
    <t>EUR/USD</t>
  </si>
  <si>
    <t>COM-001</t>
  </si>
  <si>
    <t>CO</t>
  </si>
  <si>
    <t>Energy</t>
  </si>
  <si>
    <t>Brent</t>
  </si>
  <si>
    <t>COM-002</t>
  </si>
  <si>
    <t>Metals</t>
  </si>
  <si>
    <t>Gold</t>
  </si>
  <si>
    <t>EQ-OPT-001</t>
  </si>
  <si>
    <t>EQ</t>
  </si>
  <si>
    <t>Equity</t>
  </si>
  <si>
    <t>SingleName-LargeCapUSNonFin</t>
  </si>
  <si>
    <t>HEDGING-SET ROLL-UP — REPORTED BASIS</t>
  </si>
  <si>
    <t>IR currency</t>
  </si>
  <si>
    <t>Bucket 1: E ≤ 1y / USD</t>
  </si>
  <si>
    <t>Bucket 2: 1y &lt; E ≤ 5y / USD</t>
  </si>
  <si>
    <t>Bucket 3: E &gt; 5y / USD</t>
  </si>
  <si>
    <t>IR effective notional / USD</t>
  </si>
  <si>
    <t>HS coeff.</t>
  </si>
  <si>
    <t>IR hedging-set add-on / USD</t>
  </si>
  <si>
    <t>FX currency pair</t>
  </si>
  <si>
    <t>Net FX effective notional / USD</t>
  </si>
  <si>
    <t>FX hedging-set add-on / USD</t>
  </si>
  <si>
    <t>Reference entity / type</t>
  </si>
  <si>
    <t>Net effective notional / USD</t>
  </si>
  <si>
    <t>ρ</t>
  </si>
  <si>
    <t>Signed SF × EN / USD</t>
  </si>
  <si>
    <t>Systematic / USD</t>
  </si>
  <si>
    <t>Idiosyncratic variance / USD²</t>
  </si>
  <si>
    <t>Reference standalone / USD</t>
  </si>
  <si>
    <t>Sum systematic components / USD</t>
  </si>
  <si>
    <t>Sum idiosyncratic variances / USD²</t>
  </si>
  <si>
    <t>Correlated hedging-set add-on / USD</t>
  </si>
  <si>
    <t>NETTING-SET RESULTS AND RECONCILIATIONS</t>
  </si>
  <si>
    <t>Metric</t>
  </si>
  <si>
    <t>Value (USD unless ratio / flag)</t>
  </si>
  <si>
    <t>Calculation / interpretation</t>
  </si>
  <si>
    <t>market_value_usd</t>
  </si>
  <si>
    <t>Net signed MTM of the original legal trades; no duplication of XCCY MTM.</t>
  </si>
  <si>
    <t>nica_usd</t>
  </si>
  <si>
    <t>Usable received IA less non-bankruptcy-remote posted IA.</t>
  </si>
  <si>
    <t>collateral_c_usd</t>
  </si>
  <si>
    <t>Current VM plus net independent collateral.</t>
  </si>
  <si>
    <t>replacement_cost_usd</t>
  </si>
  <si>
    <t>CRR Art. 275: unmargined MAX(CMV−NICA,0); margined MAX(CMV−VM−NICA,TH+MTA−NICA,0).</t>
  </si>
  <si>
    <t>pfe_multiplier</t>
  </si>
  <si>
    <t>CRR Art. 278: negative net CMV may reduce PFE; 5% floor, maximum 1.</t>
  </si>
  <si>
    <t>aggregate_addon_usd</t>
  </si>
  <si>
    <t>Arithmetic sum of the five asset-class add-ons; no cross-asset netting.</t>
  </si>
  <si>
    <t>addon_ir_usd</t>
  </si>
  <si>
    <t>Sum of the corresponding hedging-set add-ons; 0.00 when the asset class has no exposure.</t>
  </si>
  <si>
    <t>addon_fx_usd</t>
  </si>
  <si>
    <t>addon_cr_usd</t>
  </si>
  <si>
    <t>addon_eq_usd</t>
  </si>
  <si>
    <t>addon_co_usd</t>
  </si>
  <si>
    <t>pfe_usd</t>
  </si>
  <si>
    <t>PFE multiplier × aggregate add-on.</t>
  </si>
  <si>
    <t>ead_usd</t>
  </si>
  <si>
    <t>1.4 × (RC + PFE), capped at the otherwise-unmargined EAD for CP_B.</t>
  </si>
  <si>
    <t>risk_weight</t>
  </si>
  <si>
    <t>Fraction of EAD, selected from the supplied CRR3 SA-CR grid by counterparty type and rating.</t>
  </si>
  <si>
    <t>rwa_usd</t>
  </si>
  <si>
    <t>EAD × SA-CR risk weight.</t>
  </si>
  <si>
    <t>capital_requirement_usd</t>
  </si>
  <si>
    <t>8% × RWA; CCR default-risk capital only.</t>
  </si>
  <si>
    <t>ead_before_cap_usd</t>
  </si>
  <si>
    <t>Exposure before the Art. 274(3) margined-netting-set cap.</t>
  </si>
  <si>
    <t>cap_nica_usd</t>
  </si>
  <si>
    <t>In the otherwise-unmargined comparison, existing VM is retained as independent collateral.</t>
  </si>
  <si>
    <t>cap_aggregate_addon_usd</t>
  </si>
  <si>
    <t>Recomputed with unmargined MF (columns P–Q). CP_A already uses this basis.</t>
  </si>
  <si>
    <t>cap_replacement_cost_usd</t>
  </si>
  <si>
    <t>MAX(CMV − all retained net collateral, 0).</t>
  </si>
  <si>
    <t>cap_pfe_multiplier</t>
  </si>
  <si>
    <t>Multiplier recomputed using the otherwise-unmargined aggregate add-on.</t>
  </si>
  <si>
    <t>cap_ead_usd</t>
  </si>
  <si>
    <t>Otherwise-unmargined comparison EAD; not a binding cap for this run.</t>
  </si>
  <si>
    <t>cap_binds</t>
  </si>
  <si>
    <t>1 means the cap reduces the reported EAD; 0 means it does not.</t>
  </si>
  <si>
    <t>mtm_reconciliation_usd</t>
  </si>
  <si>
    <t>Must be 0.00: component MTM sum minus original legal-trade MTM sum.</t>
  </si>
  <si>
    <t>trade_count_check</t>
  </si>
  <si>
    <t>Must be 0: actual legal trade count less expected 8 (CP_A) or 5 (CP_B).</t>
  </si>
  <si>
    <t>SOURCE TRADES — portfolio.csv; OPTION INPUTS FROM supervisory_vols.csv ONLY</t>
  </si>
  <si>
    <t>Trade ID</t>
  </si>
  <si>
    <t>Source class</t>
  </si>
  <si>
    <t>Direction</t>
  </si>
  <si>
    <t>Notional CCY</t>
  </si>
  <si>
    <t>Contract notional / local</t>
  </si>
  <si>
    <t>USD per CCY</t>
  </si>
  <si>
    <t>Contract notional / USD</t>
  </si>
  <si>
    <t>Effective date</t>
  </si>
  <si>
    <t>Maturity date</t>
  </si>
  <si>
    <t>MTM / USD</t>
  </si>
  <si>
    <t>Underlying / reference</t>
  </si>
  <si>
    <t>Option type</t>
  </si>
  <si>
    <t>Strike</t>
  </si>
  <si>
    <t>Forward</t>
  </si>
  <si>
    <t>Supervisory option σ</t>
  </si>
  <si>
    <t>Supplied option T / years</t>
  </si>
  <si>
    <t>Trade date</t>
  </si>
  <si>
    <t>PayFixed</t>
  </si>
  <si>
    <t>ReceiveFixed</t>
  </si>
  <si>
    <t>BuyJPYSellUSD</t>
  </si>
  <si>
    <t>JPY</t>
  </si>
  <si>
    <t>BuyEURSellUSD</t>
  </si>
  <si>
    <t>EUR</t>
  </si>
  <si>
    <t>Long</t>
  </si>
  <si>
    <t>Sold</t>
  </si>
  <si>
    <t>Put</t>
  </si>
  <si>
    <t>SUPERVISORY PARAMETERS — supervisory_factors.csv</t>
  </si>
  <si>
    <t>Sub-category</t>
  </si>
  <si>
    <t>Source / interpretation</t>
  </si>
  <si>
    <t>Supplied regulatory parameter grid; IR and FX correlations are not used in this column.</t>
  </si>
  <si>
    <t>CR</t>
  </si>
  <si>
    <t>SingleName_IG</t>
  </si>
  <si>
    <t>SingleName_HY</t>
  </si>
  <si>
    <t>Index_IG</t>
  </si>
  <si>
    <t>Index_HY</t>
  </si>
  <si>
    <t>SingleName</t>
  </si>
  <si>
    <t>Index</t>
  </si>
  <si>
    <t>Electricity</t>
  </si>
  <si>
    <t>Oil_Gas</t>
  </si>
  <si>
    <t>Agricultural</t>
  </si>
  <si>
    <t>Other</t>
  </si>
  <si>
    <t>SA-CR RISK-WEIGHT GRID — risk_weights.csv (FRACTIONS OF EAD)</t>
  </si>
  <si>
    <t>Risk weight</t>
  </si>
  <si>
    <t>Selection</t>
  </si>
  <si>
    <t>Sovereign</t>
  </si>
  <si>
    <t>AAA</t>
  </si>
  <si>
    <t>AA</t>
  </si>
  <si>
    <t>A</t>
  </si>
  <si>
    <t>BB</t>
  </si>
  <si>
    <t>B</t>
  </si>
  <si>
    <t>Unrated</t>
  </si>
  <si>
    <t>Bank</t>
  </si>
  <si>
    <t>SELECTED for this counterparty</t>
  </si>
  <si>
    <t>MARGIN DISPUTES — dispute_log.csv; DURATION VERIFIED USING TARGET BUSINESS DAYS</t>
  </si>
  <si>
    <t>Dispute ID</t>
  </si>
  <si>
    <t>Raised date</t>
  </si>
  <si>
    <t>Resolved date</t>
  </si>
  <si>
    <t>Calendar days</t>
  </si>
  <si>
    <t>Logged resolution days</t>
  </si>
  <si>
    <t>Elapsed business days</t>
  </si>
  <si>
    <t>Standard MPOR / bd</t>
  </si>
  <si>
    <t>Raised in prior 2 quarters</t>
  </si>
  <si>
    <t>Exceeded standard MPOR</t>
  </si>
  <si>
    <t>Counted (1=yes)</t>
  </si>
  <si>
    <t>No CSA and no relevant collateral disputes for this netting set.</t>
  </si>
  <si>
    <t>EUR DISPUTE CALENDAR — holiday_calendars/target.csv</t>
  </si>
  <si>
    <t>TARGET holiday</t>
  </si>
  <si>
    <t>Convention</t>
  </si>
  <si>
    <t>Dispute duration excludes the raised date and includes the resolved date. Weekends and TARGET holidays are excluded. Calendars do not replace ACT/365 or the fixed 250 in margined MF.</t>
  </si>
  <si>
    <t>AUDIT NOTES, ASSUMPTIONS AND REGULATORY REFERENCES</t>
  </si>
  <si>
    <t>Scope: EU SA-CCR as implemented in CRR3 at COB 2025-04-29, using the consolidated CRR applicable from 2025-01-01. This is CCR default-risk capital, not CVA capital, market-risk capital, buffers or an output-floor calculation.</t>
  </si>
  <si>
    <t>Netting: the supplied ISDA netting sets are treated as legally enforceable/eligible under CRR Arts. 274(1), 295–297. No trades are split into standalone netting sets to obtain exemptions.</t>
  </si>
  <si>
    <t>Dates: MM/DD/YY in source CSVs. S and E/M use actual remaining calendar days divided by 365, with S floored at zero. The 10-business-day floor is 10/250 years and is non-binding for every trade in this run.</t>
  </si>
  <si>
    <t>Margined MF: 1.5 × SQRT(MPOR/250). The denominator 250 is fixed; holidays do not change it. Ordinary floating-rate coupon resets are not assumed to reset an entire swap to zero market value.</t>
  </si>
  <si>
    <t>Signs: pay-fixed IRS +1; receive-fixed IRS −1; sold credit protection −1 to credit spread; long commodities +1. Buy JPY/sell USD has delta −1 under the quoted USD/JPY risk factor. Buy EUR/sell USD has delta +1 under EUR/USD.</t>
  </si>
  <si>
    <t>Option: use the supplied supervisory forward, strike, volatility and expiry input. The implied_vols.csv file is excluded from the calculation. All computations retain full precision; only output formatting rounds amounts.</t>
  </si>
  <si>
    <t>IR aggregation: three maturity buckets (E≤1, 1&lt;E≤5, E&gt;5); correlations 0.7 between adjacent buckets and 0.3 between buckets 1 and 3. Currency hedging-set add-ons are summed without cross-currency netting.</t>
  </si>
  <si>
    <t>Credit, equity and commodity aggregation retains systematic and idiosyncratic terms. One reference in a hedging set receives no artificial correlation discount. Energy and Metals are separate commodity hedging sets.</t>
  </si>
  <si>
    <t>Unmargined cap: existing collateral is retained as independent collateral and the add-ons/multiplier are recalculated with unmargined MF. The cap does not bind for CP_B. CP_A is already unmargined.</t>
  </si>
  <si>
    <t>Regulatory anchors: CRR Art. 274 (alpha/cap); Arts. 275–276 (RC and collateral); Arts. 277–280e (mapping, delta, duration, MF, aggregation); Art. 285(2)–(5) (MPOR); Arts. 120 and 122 (SA-CR); Art. 92(1)(c) (8% total-capital ratio).</t>
  </si>
  <si>
    <t>Primary legal source: Regulation (EU) No 575/2013, consolidated 2025-01-01, as amended by Regulation (EU) 2024/1623 (CRR3). Relevant PDF pages: 175, 178–179, 389–413 and 423–424.</t>
  </si>
  <si>
    <t>Official consolidated CRR (EUR-Lex)</t>
  </si>
  <si>
    <t>CRR consolidated 2025-01-01</t>
  </si>
  <si>
    <t>Official Publications Office PDF</t>
  </si>
  <si>
    <t>Official consolidated CRR PDF</t>
  </si>
  <si>
    <t>Basel framework cross-check</t>
  </si>
  <si>
    <t>Basel CRE52 (EU law controls)</t>
  </si>
  <si>
    <t>Input file (relative to /app/inputs)</t>
  </si>
  <si>
    <t>SHA-256 / reproducibility</t>
  </si>
  <si>
    <t>portfolio.csv</t>
  </si>
  <si>
    <t>16f7a43fef472f75bd7d1f7ac293bcfad6418783d7f1e068aefe7364d830343a</t>
  </si>
  <si>
    <t>counterparties.csv</t>
  </si>
  <si>
    <t>e1fadb6e79538dfae76ba823bfe8c34b261fd0d06d931cf2469bd56c45a4f77d</t>
  </si>
  <si>
    <t>csa_terms.csv</t>
  </si>
  <si>
    <t>c38a1efa15a42471b956517d2ee404ba5715c0a33f05642a3cbc4d9271e6dd18</t>
  </si>
  <si>
    <t>dispute_log.csv</t>
  </si>
  <si>
    <t>1e89f28590acf5da39a141944c48991a3f7a4c216b8ec71bce9093cdcc67f82a</t>
  </si>
  <si>
    <t>fx_spot.csv</t>
  </si>
  <si>
    <t>0dcffe8ffaf311ccef0031db040145f64ee6ed7e4397f1782b8e5a698b2037bc</t>
  </si>
  <si>
    <t>supervisory_factors.csv</t>
  </si>
  <si>
    <t>501a3da7de4589e3cd66b80e04c32925f929ba38408e6fb15c7732cf0538f365</t>
  </si>
  <si>
    <t>supervisory_vols.csv</t>
  </si>
  <si>
    <t>1e90397b6216f52f390b7569c55c7d9835b768c778226383e12ab6a5302f5031</t>
  </si>
  <si>
    <t>risk_weights.csv</t>
  </si>
  <si>
    <t>fd29d6311726e6d5c16ce5494e603df0005581a2546c170b7ebae0e9311c498a</t>
  </si>
  <si>
    <t>holiday_calendars/target.csv</t>
  </si>
  <si>
    <t>363de98c183c375abfa230f2e812661677f6c6dd41c3884dc1f7096b8080a2d0</t>
  </si>
  <si>
    <t>CP_B  |  EU SA-CCR / CRR3</t>
  </si>
  <si>
    <t>COB 2025-04-29 • 5 legal trades • 7 risk components • Blue = source inputs; black = formulas; green = reported USD results</t>
  </si>
  <si>
    <t>ES</t>
  </si>
  <si>
    <t>Daily VM under the 2025-02-14 amendment. Three long disputes produce a 20-business-day MPOR; margined MF = 1.5 × SQRT(20/250).</t>
  </si>
  <si>
    <t>Omnibus/rehypothecatable IA is not bankruptcy-remote: include posted IA negatively and usable received IA positively. Equal EUR 5m IA balances net to zero.</t>
  </si>
  <si>
    <t>XCY-001 has EUR IR (+1), USD IR (−1) and EUR/USD FX (+1) components. USD leg uses the supplied EUR notional × COB spot; MTM is included only once.</t>
  </si>
  <si>
    <t>IRS-EUR-001</t>
  </si>
  <si>
    <t>EUR rates</t>
  </si>
  <si>
    <t>IRS-EUR-002</t>
  </si>
  <si>
    <t>IRS-GBP-001</t>
  </si>
  <si>
    <t>GBP</t>
  </si>
  <si>
    <t>GBP rates</t>
  </si>
  <si>
    <t>XCY-001 / IR EUR</t>
  </si>
  <si>
    <t>XCY-001 / IR USD</t>
  </si>
  <si>
    <t>XCY-001 / FX</t>
  </si>
  <si>
    <t>CDS-IDX-001</t>
  </si>
  <si>
    <t>Credit</t>
  </si>
  <si>
    <t>CDX.NA.IG.S43</t>
  </si>
  <si>
    <t>UNMARGINED CAP — HEDGING-SET ROLL-UP</t>
  </si>
  <si>
    <t>XCY-001</t>
  </si>
  <si>
    <t>XCCY</t>
  </si>
  <si>
    <t>RecEURPayUSD</t>
  </si>
  <si>
    <t>SoldProtection</t>
  </si>
  <si>
    <t>DSP-2025-007</t>
  </si>
  <si>
    <t>DSP-2025-013</t>
  </si>
  <si>
    <t>DSP-2025-019</t>
  </si>
  <si>
    <t>CSA collateral inputs are used as the supplied eligible collateral values; no unprovided collateral inventory or extra valuation haircut is invented. VM is the current C balance specified in csa_terms.csv. Posted IA is included because the amended custody terms are expressly not bankruptcy-remote.</t>
  </si>
  <si>
    <t>CP_B dispute inclusion is based on initiation in the preceding two quarters (2024-10-01 to 2025-03-31) and duration through resolution known at COB. All three listed disputes are included as instructed, with elapsed TARGET durations 14, 15 and 16 business days. The standard floor is 10; the applied MPOR is 20.</t>
  </si>
  <si>
    <t>XCY-001 uses the requested multi-driver mapping: receive €STR/EUR IR +1, pay SOFR/USD IR −1, receive EUR principal/pay USD FX +1. The two IR components each use full supervisory duration; the FX component uses one non-USD principal, not both principals.</t>
  </si>
  <si>
    <t>XCY-001: the file provides EUR 80m but no separate contractual USD leg notional. The USD leg is represented by EUR 80m × supplied COB EUR/USD = USD 85.88m. No historic contractual FX rate or reset schedule is assumed.</t>
  </si>
  <si>
    <t>No 0.5 same-currency-basis SF reduction is applied to XCY-001. Its currency legs are distinct. The prescribed multi-driver mapping is used rather than the single-driver FX treatment.</t>
  </si>
  <si>
    <t>The credit index label CDX.NA.IG.S43 is read from portfolio.csv reference_entity (index_name is blank). The supplied IG-index supervisory factor and correlation apply; the CP_B bank rating is used only for counterparty SA-CR RWA.</t>
  </si>
  <si>
    <t>Original CSA custody/segregation note from csa_terms.csv: VM frequency was weekly until last amendment. IA is two-way EUR 5M each side held in a commingled omnibus account at the third-party custodian with rehypothecation permitted; the bank's posted IA is not bankruptcy-remote and ranks as an unsecured claim on counterparty default; received IA is usable by the bank to offset exposure. Variation margin is settled daily and is current as of COB with no outstanding margin call; vm_held_usd is the collateral (C) held against the net current mark-to-market.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</si>
</sst>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0000000"/>
    <numFmt numFmtId="166" formatCode="#,##0.00;[Red](#,##0.00);0.00"/>
    <numFmt numFmtId="167" formatCode="0.00%"/>
    <numFmt numFmtId="168" formatCode="0.000000E+0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sz val="10"/>
      <color rgb="FF475569"/>
      <name val="Calibri"/>
      <family val="2"/>
      <scheme val="minor"/>
    </font>
    <font>
      <sz val="10"/>
      <color rgb="FF1D4ED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41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7365D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8" fontId="5" fillId="0" borderId="0" xfId="0" applyNumberFormat="1" applyFont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10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r-lex.europa.eu/eli/reg/2013/575/2025-01-01/eng" TargetMode="External"/><Relationship Id="rId2" Type="http://schemas.openxmlformats.org/officeDocument/2006/relationships/hyperlink" Target="https://op.europa.eu/o/opportal-service/download-handler?identifier=57382806-e88f-11ef-b5e9-01aa75ed71a1&amp;format=pdfa2a&amp;language=en&amp;productionSystem=cellar&amp;part=" TargetMode="External"/><Relationship Id="rId3" Type="http://schemas.openxmlformats.org/officeDocument/2006/relationships/hyperlink" Target="https://www.bis.org/basel_framework/chapter/CRE/52.htm?inforce=20230101&amp;published=2020060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ur-lex.europa.eu/eli/reg/2013/575/2025-01-01/eng" TargetMode="External"/><Relationship Id="rId2" Type="http://schemas.openxmlformats.org/officeDocument/2006/relationships/hyperlink" Target="https://op.europa.eu/o/opportal-service/download-handler?identifier=57382806-e88f-11ef-b5e9-01aa75ed71a1&amp;format=pdfa2a&amp;language=en&amp;productionSystem=cellar&amp;part=" TargetMode="External"/><Relationship Id="rId3" Type="http://schemas.openxmlformats.org/officeDocument/2006/relationships/hyperlink" Target="https://www.bis.org/basel_framework/chapter/CRE/52.htm?inforce=20230101&amp;published=20200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01"/>
  <sheetViews>
    <sheetView showGridLines="0" tabSelected="1"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22" customHeight="1"/>
  <cols>
    <col min="1" max="1" width="25.7109375" customWidth="1"/>
    <col min="2" max="2" width="8.7109375" customWidth="1"/>
    <col min="3" max="3" width="16.7109375" customWidth="1"/>
    <col min="4" max="4" width="20.7109375" customWidth="1"/>
    <col min="5" max="5" width="14.7109375" customWidth="1"/>
    <col min="6" max="6" width="13.7109375" customWidth="1"/>
    <col min="7" max="7" width="22.7109375" customWidth="1"/>
    <col min="8" max="10" width="13.7109375" customWidth="1"/>
    <col min="11" max="11" width="10.7109375" customWidth="1"/>
    <col min="12" max="13" width="11.7109375" customWidth="1"/>
    <col min="14" max="14" width="20.7109375" customWidth="1"/>
    <col min="15" max="15" width="36.7109375" customWidth="1"/>
    <col min="16" max="16" width="15.7109375" customWidth="1"/>
    <col min="17" max="17" width="22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22" customHeight="1">
      <c r="A4" s="3" t="s">
        <v>2</v>
      </c>
      <c r="B4" s="3"/>
      <c r="C4" s="3"/>
      <c r="D4" s="4">
        <v>45776</v>
      </c>
      <c r="F4" s="3" t="s">
        <v>17</v>
      </c>
      <c r="G4" s="3"/>
      <c r="H4" s="3"/>
      <c r="I4" s="5">
        <v>1.0735</v>
      </c>
      <c r="L4" s="3" t="s">
        <v>35</v>
      </c>
      <c r="M4" s="3"/>
      <c r="N4" s="3"/>
      <c r="O4" s="6">
        <v>0</v>
      </c>
      <c r="P4" s="6"/>
      <c r="Q4" s="6"/>
    </row>
    <row r="5" spans="1:17" ht="22" customHeight="1">
      <c r="A5" s="3" t="s">
        <v>3</v>
      </c>
      <c r="B5" s="3"/>
      <c r="C5" s="3"/>
      <c r="D5" s="5">
        <v>1.4</v>
      </c>
      <c r="F5" s="3" t="s">
        <v>18</v>
      </c>
      <c r="G5" s="3"/>
      <c r="H5" s="3"/>
      <c r="I5" s="5">
        <v>1.248</v>
      </c>
      <c r="L5" s="3" t="s">
        <v>36</v>
      </c>
      <c r="M5" s="3"/>
      <c r="N5" s="3"/>
      <c r="O5" s="6">
        <v>0</v>
      </c>
      <c r="P5" s="6"/>
      <c r="Q5" s="6"/>
    </row>
    <row r="6" spans="1:17" ht="22" customHeight="1">
      <c r="A6" s="3" t="s">
        <v>4</v>
      </c>
      <c r="B6" s="3"/>
      <c r="C6" s="3"/>
      <c r="D6" s="7">
        <f>0.75</f>
        <v>0.75</v>
      </c>
      <c r="F6" s="3" t="s">
        <v>19</v>
      </c>
      <c r="G6" s="3"/>
      <c r="H6" s="3"/>
      <c r="I6" s="5">
        <v>154.2</v>
      </c>
      <c r="L6" s="3" t="s">
        <v>37</v>
      </c>
      <c r="M6" s="3"/>
      <c r="N6" s="3"/>
      <c r="O6" s="6">
        <v>0</v>
      </c>
      <c r="P6" s="6"/>
      <c r="Q6" s="6"/>
    </row>
    <row r="7" spans="1:17" ht="22" customHeight="1">
      <c r="A7" s="3" t="s">
        <v>5</v>
      </c>
      <c r="B7" s="3"/>
      <c r="C7" s="3"/>
      <c r="D7" s="8">
        <v>0.08</v>
      </c>
      <c r="F7" s="3" t="s">
        <v>20</v>
      </c>
      <c r="G7" s="3"/>
      <c r="H7" s="3"/>
      <c r="I7" s="5">
        <v>1</v>
      </c>
      <c r="L7" s="3" t="s">
        <v>38</v>
      </c>
      <c r="M7" s="3"/>
      <c r="N7" s="3"/>
      <c r="O7" s="6">
        <v>0</v>
      </c>
      <c r="P7" s="6"/>
      <c r="Q7" s="6"/>
    </row>
    <row r="8" spans="1:17" ht="22" customHeight="1">
      <c r="A8" s="3" t="s">
        <v>6</v>
      </c>
      <c r="B8" s="3"/>
      <c r="C8" s="3"/>
      <c r="D8" s="9">
        <v>365</v>
      </c>
      <c r="F8" s="3" t="s">
        <v>21</v>
      </c>
      <c r="G8" s="3"/>
      <c r="H8" s="3"/>
      <c r="I8" s="9">
        <v>0</v>
      </c>
      <c r="L8" s="3" t="s">
        <v>39</v>
      </c>
      <c r="M8" s="3"/>
      <c r="N8" s="3"/>
      <c r="O8" s="6">
        <v>0</v>
      </c>
      <c r="P8" s="6"/>
      <c r="Q8" s="6"/>
    </row>
    <row r="9" spans="1:17" ht="22" customHeight="1">
      <c r="A9" s="3" t="s">
        <v>7</v>
      </c>
      <c r="B9" s="3"/>
      <c r="C9" s="3"/>
      <c r="D9" s="9">
        <v>250</v>
      </c>
      <c r="F9" s="3" t="s">
        <v>22</v>
      </c>
      <c r="G9" s="3"/>
      <c r="H9" s="3"/>
      <c r="I9" s="10" t="s">
        <v>23</v>
      </c>
      <c r="L9" s="3" t="s">
        <v>40</v>
      </c>
      <c r="M9" s="3"/>
      <c r="N9" s="3"/>
      <c r="O9" s="6">
        <v>0</v>
      </c>
      <c r="P9" s="6"/>
      <c r="Q9" s="6"/>
    </row>
    <row r="10" spans="1:17" ht="22" customHeight="1">
      <c r="A10" s="3" t="s">
        <v>8</v>
      </c>
      <c r="B10" s="3"/>
      <c r="C10" s="3"/>
      <c r="D10" s="9">
        <v>0</v>
      </c>
      <c r="F10" s="3" t="s">
        <v>24</v>
      </c>
      <c r="G10" s="3"/>
      <c r="H10" s="3"/>
      <c r="I10" s="10" t="s">
        <v>25</v>
      </c>
      <c r="L10" s="3" t="s">
        <v>41</v>
      </c>
      <c r="M10" s="3"/>
      <c r="N10" s="3"/>
      <c r="O10" s="9">
        <v>0</v>
      </c>
      <c r="P10" s="9"/>
      <c r="Q10" s="9"/>
    </row>
    <row r="11" spans="1:17" ht="22" customHeight="1">
      <c r="A11" s="3" t="s">
        <v>9</v>
      </c>
      <c r="B11" s="3"/>
      <c r="C11" s="3"/>
      <c r="D11" s="11">
        <f>0</f>
        <v>0</v>
      </c>
      <c r="F11" s="3" t="s">
        <v>26</v>
      </c>
      <c r="G11" s="3"/>
      <c r="H11" s="3"/>
      <c r="I11" s="10" t="s">
        <v>27</v>
      </c>
      <c r="L11" s="3" t="s">
        <v>42</v>
      </c>
      <c r="M11" s="3"/>
      <c r="N11" s="3"/>
      <c r="O11" s="12">
        <f>0.0</f>
        <v>0.0</v>
      </c>
      <c r="P11" s="12"/>
      <c r="Q11" s="12"/>
    </row>
    <row r="12" spans="1:17" ht="22" customHeight="1">
      <c r="A12" s="3" t="s">
        <v>10</v>
      </c>
      <c r="B12" s="3"/>
      <c r="C12" s="3"/>
      <c r="D12" s="11">
        <f>0</f>
        <v>0</v>
      </c>
      <c r="F12" s="3" t="s">
        <v>28</v>
      </c>
      <c r="G12" s="3"/>
      <c r="H12" s="3"/>
      <c r="I12" s="10" t="s">
        <v>29</v>
      </c>
      <c r="L12" s="3" t="s">
        <v>43</v>
      </c>
      <c r="M12" s="3"/>
      <c r="N12" s="3"/>
      <c r="O12" s="12">
        <f>0.0</f>
        <v>0.0</v>
      </c>
      <c r="P12" s="12"/>
      <c r="Q12" s="12"/>
    </row>
    <row r="13" spans="1:17" ht="22" customHeight="1">
      <c r="A13" s="3" t="s">
        <v>11</v>
      </c>
      <c r="B13" s="3"/>
      <c r="C13" s="3"/>
      <c r="D13" s="13">
        <f>0</f>
        <v>0</v>
      </c>
      <c r="F13" s="3" t="s">
        <v>30</v>
      </c>
      <c r="G13" s="3"/>
      <c r="H13" s="3"/>
      <c r="I13" s="5">
        <v>1</v>
      </c>
      <c r="L13" s="3" t="s">
        <v>44</v>
      </c>
      <c r="M13" s="3"/>
      <c r="N13" s="3"/>
      <c r="O13" s="12">
        <f>0.0</f>
        <v>0.0</v>
      </c>
      <c r="P13" s="12"/>
      <c r="Q13" s="12"/>
    </row>
    <row r="14" spans="1:17" ht="22" customHeight="1">
      <c r="A14" s="3" t="s">
        <v>12</v>
      </c>
      <c r="B14" s="3"/>
      <c r="C14" s="3"/>
      <c r="D14" s="8">
        <v>0.05</v>
      </c>
      <c r="F14" s="3" t="s">
        <v>31</v>
      </c>
      <c r="G14" s="3"/>
      <c r="H14" s="3"/>
      <c r="I14" s="4">
        <v>45566</v>
      </c>
      <c r="L14" s="3" t="s">
        <v>45</v>
      </c>
      <c r="M14" s="3"/>
      <c r="N14" s="3"/>
      <c r="O14" s="12">
        <f>0.0</f>
        <v>0.0</v>
      </c>
      <c r="P14" s="12"/>
      <c r="Q14" s="12"/>
    </row>
    <row r="15" spans="1:17" ht="22" customHeight="1">
      <c r="A15" s="3" t="s">
        <v>13</v>
      </c>
      <c r="B15" s="3"/>
      <c r="C15" s="3"/>
      <c r="D15" s="8">
        <v>0.05</v>
      </c>
      <c r="F15" s="3" t="s">
        <v>32</v>
      </c>
      <c r="G15" s="3"/>
      <c r="H15" s="3"/>
      <c r="I15" s="4">
        <v>45747</v>
      </c>
      <c r="L15" s="3" t="s">
        <v>46</v>
      </c>
      <c r="M15" s="3"/>
      <c r="N15" s="3"/>
      <c r="O15" s="12">
        <f>0.0</f>
        <v>0.0</v>
      </c>
      <c r="P15" s="12"/>
      <c r="Q15" s="12"/>
    </row>
    <row r="16" spans="1:17" ht="22" customHeight="1">
      <c r="A16" s="3" t="s">
        <v>14</v>
      </c>
      <c r="B16" s="3"/>
      <c r="C16" s="3"/>
      <c r="D16" s="9">
        <v>0</v>
      </c>
      <c r="F16" s="3" t="s">
        <v>33</v>
      </c>
      <c r="G16" s="3"/>
      <c r="H16" s="3"/>
      <c r="I16" s="9">
        <v>8</v>
      </c>
      <c r="L16" s="3" t="s">
        <v>47</v>
      </c>
      <c r="M16" s="3"/>
      <c r="N16" s="3"/>
      <c r="O16" s="12">
        <f>0.0</f>
        <v>0.0</v>
      </c>
      <c r="P16" s="12"/>
      <c r="Q16" s="12"/>
    </row>
    <row r="17" spans="1:17" ht="22" customHeight="1">
      <c r="A17" s="3" t="s">
        <v>15</v>
      </c>
      <c r="B17" s="3"/>
      <c r="C17" s="3"/>
      <c r="D17" s="13">
        <f>0.04</f>
        <v>0.04</v>
      </c>
      <c r="F17" s="3" t="s">
        <v>34</v>
      </c>
      <c r="G17" s="3"/>
      <c r="H17" s="3"/>
      <c r="I17" s="12">
        <f>-3220000.0</f>
        <v>-3220000.0</v>
      </c>
      <c r="J17" s="12"/>
      <c r="K17" s="12"/>
      <c r="L17" s="3" t="s">
        <v>48</v>
      </c>
      <c r="M17" s="3"/>
      <c r="N17" s="3"/>
      <c r="O17" s="12">
        <f>-3220000.0</f>
        <v>-3220000.0</v>
      </c>
      <c r="P17" s="12"/>
      <c r="Q17" s="12"/>
    </row>
    <row r="18" spans="1:17" ht="22" customHeight="1">
      <c r="A18" s="3" t="s">
        <v>16</v>
      </c>
      <c r="B18" s="3"/>
      <c r="C18" s="3"/>
      <c r="D18" s="11">
        <f>8</f>
        <v>8</v>
      </c>
    </row>
    <row r="20" spans="1:17" ht="26" customHeight="1">
      <c r="A20" s="14" t="s">
        <v>49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26" customHeight="1">
      <c r="A21" s="14" t="s">
        <v>50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26" customHeight="1">
      <c r="A22" s="14" t="s">
        <v>51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4" spans="1:17" ht="24" customHeight="1">
      <c r="A24" s="15" t="s">
        <v>52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35" customHeight="1">
      <c r="A25" s="16" t="s">
        <v>53</v>
      </c>
      <c r="B25" s="16" t="s">
        <v>54</v>
      </c>
      <c r="C25" s="16" t="s">
        <v>55</v>
      </c>
      <c r="D25" s="16" t="s">
        <v>56</v>
      </c>
      <c r="E25" s="16" t="s">
        <v>57</v>
      </c>
      <c r="F25" s="16" t="s">
        <v>58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63</v>
      </c>
      <c r="L25" s="16" t="s">
        <v>64</v>
      </c>
      <c r="M25" s="16" t="s">
        <v>65</v>
      </c>
      <c r="N25" s="16" t="s">
        <v>66</v>
      </c>
      <c r="O25" s="16" t="s">
        <v>67</v>
      </c>
      <c r="P25" s="16" t="s">
        <v>68</v>
      </c>
      <c r="Q25" s="16" t="s">
        <v>69</v>
      </c>
    </row>
    <row r="26" spans="1:17" ht="34" customHeight="1">
      <c r="A26" s="17" t="s">
        <v>70</v>
      </c>
      <c r="B26" s="17" t="s">
        <v>71</v>
      </c>
      <c r="C26" s="17" t="s">
        <v>72</v>
      </c>
      <c r="D26" s="12">
        <f>290802618.31980026</f>
        <v>290802618.31980026</v>
      </c>
      <c r="E26" s="13">
        <f>1</f>
        <v>1</v>
      </c>
      <c r="F26" s="13">
        <f>1.0</f>
        <v>1.0</v>
      </c>
      <c r="G26" s="12">
        <f>290802618.31980026</f>
        <v>290802618.31980026</v>
      </c>
      <c r="H26" s="13">
        <f>0</f>
        <v>0</v>
      </c>
      <c r="I26" s="13">
        <f>3.1424657534246574</f>
        <v>3.1424657534246574</v>
      </c>
      <c r="J26" s="13">
        <f>2.9080261831980025</f>
        <v>2.9080261831980025</v>
      </c>
      <c r="K26" s="11">
        <f>2</f>
        <v>2</v>
      </c>
      <c r="L26" s="7">
        <f>0.005</f>
        <v>0.005</v>
      </c>
      <c r="M26" s="13">
        <f>0.0</f>
        <v>0.0</v>
      </c>
      <c r="N26" s="12">
        <f>-2500000.0</f>
        <v>-2500000.0</v>
      </c>
      <c r="O26" s="17" t="s">
        <v>73</v>
      </c>
      <c r="P26" s="13">
        <f>1.0</f>
        <v>1.0</v>
      </c>
      <c r="Q26" s="12">
        <f>290802618.31980026</f>
        <v>290802618.31980026</v>
      </c>
    </row>
    <row r="27" spans="1:17" ht="34" customHeight="1">
      <c r="A27" s="17" t="s">
        <v>74</v>
      </c>
      <c r="B27" s="17" t="s">
        <v>71</v>
      </c>
      <c r="C27" s="17" t="s">
        <v>72</v>
      </c>
      <c r="D27" s="12">
        <f>433388951.3028209</f>
        <v>433388951.3028209</v>
      </c>
      <c r="E27" s="13">
        <f>-1</f>
        <v>-1</v>
      </c>
      <c r="F27" s="13">
        <f>1.0</f>
        <v>1.0</v>
      </c>
      <c r="G27" s="12">
        <f>-433388951.3028209</f>
        <v>-433388951.3028209</v>
      </c>
      <c r="H27" s="13">
        <f>0</f>
        <v>0</v>
      </c>
      <c r="I27" s="13">
        <f>11.361643835616439</f>
        <v>11.361643835616439</v>
      </c>
      <c r="J27" s="13">
        <f>8.667779026056419</f>
        <v>8.667779026056419</v>
      </c>
      <c r="K27" s="11">
        <f>3</f>
        <v>3</v>
      </c>
      <c r="L27" s="7">
        <f>0.005</f>
        <v>0.005</v>
      </c>
      <c r="M27" s="13">
        <f>0.0</f>
        <v>0.0</v>
      </c>
      <c r="N27" s="12">
        <f>-1200000.0</f>
        <v>-1200000.0</v>
      </c>
      <c r="O27" s="17" t="s">
        <v>73</v>
      </c>
      <c r="P27" s="13">
        <f>1.0</f>
        <v>1.0</v>
      </c>
      <c r="Q27" s="12">
        <f>-433388951.3028209</f>
        <v>-433388951.3028209</v>
      </c>
    </row>
    <row r="28" spans="1:17" ht="34" customHeight="1">
      <c r="A28" s="17" t="s">
        <v>75</v>
      </c>
      <c r="B28" s="17" t="s">
        <v>71</v>
      </c>
      <c r="C28" s="17" t="s">
        <v>72</v>
      </c>
      <c r="D28" s="12">
        <f>18860959.36820631</f>
        <v>18860959.36820631</v>
      </c>
      <c r="E28" s="13">
        <f>1</f>
        <v>1</v>
      </c>
      <c r="F28" s="13">
        <f>0.6171077035722526</f>
        <v>0.6171077035722526</v>
      </c>
      <c r="G28" s="12">
        <f>11639243.322883362</f>
        <v>11639243.322883362</v>
      </c>
      <c r="H28" s="13">
        <f>0</f>
        <v>0</v>
      </c>
      <c r="I28" s="13">
        <f>0.38082191780821917</f>
        <v>0.38082191780821917</v>
      </c>
      <c r="J28" s="13">
        <f>0.3772191873641262</f>
        <v>0.3772191873641262</v>
      </c>
      <c r="K28" s="11">
        <f>1</f>
        <v>1</v>
      </c>
      <c r="L28" s="7">
        <f>0.005</f>
        <v>0.005</v>
      </c>
      <c r="M28" s="13">
        <f>0.0</f>
        <v>0.0</v>
      </c>
      <c r="N28" s="12">
        <f>120000.0</f>
        <v>120000.0</v>
      </c>
      <c r="O28" s="17" t="s">
        <v>73</v>
      </c>
      <c r="P28" s="13">
        <f>0.6171077035722526</f>
        <v>0.6171077035722526</v>
      </c>
      <c r="Q28" s="12">
        <f>11639243.322883362</f>
        <v>11639243.322883362</v>
      </c>
    </row>
    <row r="29" spans="1:17" ht="34" customHeight="1">
      <c r="A29" s="17" t="s">
        <v>76</v>
      </c>
      <c r="B29" s="17" t="s">
        <v>77</v>
      </c>
      <c r="C29" s="17" t="s">
        <v>78</v>
      </c>
      <c r="D29" s="12">
        <f>97276264.5914397</f>
        <v>97276264.5914397</v>
      </c>
      <c r="E29" s="13">
        <f>-1</f>
        <v>-1</v>
      </c>
      <c r="F29" s="13">
        <f>0.5514613214370486</f>
        <v>0.5514613214370486</v>
      </c>
      <c r="G29" s="12">
        <f>-53644097.416055314</f>
        <v>-53644097.416055314</v>
      </c>
      <c r="H29" s="13">
        <f>0</f>
        <v>0</v>
      </c>
      <c r="I29" s="13">
        <f>0.3041095890410959</f>
        <v>0.3041095890410959</v>
      </c>
      <c r="J29" s="13">
        <f>1.0</f>
        <v>1.0</v>
      </c>
      <c r="K29" s="11">
        <f>0</f>
        <v>0</v>
      </c>
      <c r="L29" s="7">
        <f>0.04</f>
        <v>0.04</v>
      </c>
      <c r="M29" s="13">
        <f>0.0</f>
        <v>0.0</v>
      </c>
      <c r="N29" s="12">
        <f>-95000.0</f>
        <v>-95000.0</v>
      </c>
      <c r="O29" s="17" t="s">
        <v>78</v>
      </c>
      <c r="P29" s="13">
        <f>0.5514613214370486</f>
        <v>0.5514613214370486</v>
      </c>
      <c r="Q29" s="12">
        <f>-53644097.416055314</f>
        <v>-53644097.416055314</v>
      </c>
    </row>
    <row r="30" spans="1:17" ht="34" customHeight="1">
      <c r="A30" s="17" t="s">
        <v>79</v>
      </c>
      <c r="B30" s="17" t="s">
        <v>77</v>
      </c>
      <c r="C30" s="17" t="s">
        <v>80</v>
      </c>
      <c r="D30" s="12">
        <f>26837499.999999996</f>
        <v>26837499.999999996</v>
      </c>
      <c r="E30" s="13">
        <f>1</f>
        <v>1</v>
      </c>
      <c r="F30" s="13">
        <f>0.8695771291620105</f>
        <v>0.8695771291620105</v>
      </c>
      <c r="G30" s="12">
        <f>23337276.20388545</f>
        <v>23337276.20388545</v>
      </c>
      <c r="H30" s="13">
        <f>0</f>
        <v>0</v>
      </c>
      <c r="I30" s="13">
        <f>0.7561643835616438</f>
        <v>0.7561643835616438</v>
      </c>
      <c r="J30" s="13">
        <f>1.0</f>
        <v>1.0</v>
      </c>
      <c r="K30" s="11">
        <f>0</f>
        <v>0</v>
      </c>
      <c r="L30" s="7">
        <f>0.04</f>
        <v>0.04</v>
      </c>
      <c r="M30" s="13">
        <f>0.0</f>
        <v>0.0</v>
      </c>
      <c r="N30" s="12">
        <f>85000.0</f>
        <v>85000.0</v>
      </c>
      <c r="O30" s="17" t="s">
        <v>80</v>
      </c>
      <c r="P30" s="13">
        <f>0.8695771291620105</f>
        <v>0.8695771291620105</v>
      </c>
      <c r="Q30" s="12">
        <f>23337276.20388545</f>
        <v>23337276.20388545</v>
      </c>
    </row>
    <row r="31" spans="1:17" ht="34" customHeight="1">
      <c r="A31" s="17" t="s">
        <v>81</v>
      </c>
      <c r="B31" s="17" t="s">
        <v>82</v>
      </c>
      <c r="C31" s="17" t="s">
        <v>83</v>
      </c>
      <c r="D31" s="12">
        <f>10000000.0</f>
        <v>10000000.0</v>
      </c>
      <c r="E31" s="13">
        <f>1</f>
        <v>1</v>
      </c>
      <c r="F31" s="13">
        <f>0.9363291775690444</f>
        <v>0.9363291775690444</v>
      </c>
      <c r="G31" s="12">
        <f>9363291.775690444</f>
        <v>9363291.775690444</v>
      </c>
      <c r="H31" s="13">
        <f>0</f>
        <v>0</v>
      </c>
      <c r="I31" s="13">
        <f>0.8767123287671232</f>
        <v>0.8767123287671232</v>
      </c>
      <c r="J31" s="13">
        <f>1.0</f>
        <v>1.0</v>
      </c>
      <c r="K31" s="11">
        <f>0</f>
        <v>0</v>
      </c>
      <c r="L31" s="7">
        <f>0.18</f>
        <v>0.18</v>
      </c>
      <c r="M31" s="13">
        <f>0.4</f>
        <v>0.4</v>
      </c>
      <c r="N31" s="12">
        <f>520000.0</f>
        <v>520000.0</v>
      </c>
      <c r="O31" s="17" t="s">
        <v>84</v>
      </c>
      <c r="P31" s="13">
        <f>0.9363291775690444</f>
        <v>0.9363291775690444</v>
      </c>
      <c r="Q31" s="12">
        <f>9363291.775690444</f>
        <v>9363291.775690444</v>
      </c>
    </row>
    <row r="32" spans="1:17" ht="34" customHeight="1">
      <c r="A32" s="17" t="s">
        <v>85</v>
      </c>
      <c r="B32" s="17" t="s">
        <v>82</v>
      </c>
      <c r="C32" s="17" t="s">
        <v>86</v>
      </c>
      <c r="D32" s="12">
        <f>5000000.0</f>
        <v>5000000.0</v>
      </c>
      <c r="E32" s="13">
        <f>1</f>
        <v>1</v>
      </c>
      <c r="F32" s="13">
        <f>1.0</f>
        <v>1.0</v>
      </c>
      <c r="G32" s="12">
        <f>5000000.0</f>
        <v>5000000.0</v>
      </c>
      <c r="H32" s="13">
        <f>0</f>
        <v>0</v>
      </c>
      <c r="I32" s="13">
        <f>1.0027397260273974</f>
        <v>1.0027397260273974</v>
      </c>
      <c r="J32" s="13">
        <f>1.0</f>
        <v>1.0</v>
      </c>
      <c r="K32" s="11">
        <f>0</f>
        <v>0</v>
      </c>
      <c r="L32" s="7">
        <f>0.18</f>
        <v>0.18</v>
      </c>
      <c r="M32" s="13">
        <f>0.4</f>
        <v>0.4</v>
      </c>
      <c r="N32" s="12">
        <f>30000.0</f>
        <v>30000.0</v>
      </c>
      <c r="O32" s="17" t="s">
        <v>87</v>
      </c>
      <c r="P32" s="13">
        <f>1.0</f>
        <v>1.0</v>
      </c>
      <c r="Q32" s="12">
        <f>5000000.0</f>
        <v>5000000.0</v>
      </c>
    </row>
    <row r="33" spans="1:17" ht="34" customHeight="1">
      <c r="A33" s="17" t="s">
        <v>88</v>
      </c>
      <c r="B33" s="17" t="s">
        <v>89</v>
      </c>
      <c r="C33" s="17" t="s">
        <v>90</v>
      </c>
      <c r="D33" s="12">
        <f>5000000.0</f>
        <v>5000000.0</v>
      </c>
      <c r="E33" s="13">
        <f>0.3380435427749589</f>
        <v>0.3380435427749589</v>
      </c>
      <c r="F33" s="13">
        <f>0.6963702369065718</f>
        <v>0.6963702369065718</v>
      </c>
      <c r="G33" s="12">
        <f>1177017.309834675</f>
        <v>1177017.309834675</v>
      </c>
      <c r="H33" s="13">
        <f>0</f>
        <v>0</v>
      </c>
      <c r="I33" s="13">
        <f>0.4849315068493151</f>
        <v>0.4849315068493151</v>
      </c>
      <c r="J33" s="13">
        <f>1.0</f>
        <v>1.0</v>
      </c>
      <c r="K33" s="11">
        <f>0</f>
        <v>0</v>
      </c>
      <c r="L33" s="7">
        <f>0.32</f>
        <v>0.32</v>
      </c>
      <c r="M33" s="13">
        <f>0.5</f>
        <v>0.5</v>
      </c>
      <c r="N33" s="12">
        <f>-180000.0</f>
        <v>-180000.0</v>
      </c>
      <c r="O33" s="17" t="s">
        <v>91</v>
      </c>
      <c r="P33" s="13">
        <f>0.6963702369065718</f>
        <v>0.6963702369065718</v>
      </c>
      <c r="Q33" s="12">
        <f>1177017.309834675</f>
        <v>1177017.309834675</v>
      </c>
    </row>
    <row r="36" spans="1:17" ht="24" customHeight="1">
      <c r="A36" s="15" t="s">
        <v>92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8" spans="1:17" ht="35" customHeight="1">
      <c r="A38" s="16" t="s">
        <v>93</v>
      </c>
      <c r="B38" s="16" t="s">
        <v>94</v>
      </c>
      <c r="C38" s="16"/>
      <c r="D38" s="16" t="s">
        <v>95</v>
      </c>
      <c r="E38" s="16"/>
      <c r="F38" s="16" t="s">
        <v>96</v>
      </c>
      <c r="G38" s="16"/>
      <c r="H38" s="16" t="s">
        <v>97</v>
      </c>
      <c r="I38" s="16"/>
      <c r="J38" s="16"/>
      <c r="K38" s="16" t="s">
        <v>64</v>
      </c>
      <c r="L38" s="16" t="s">
        <v>98</v>
      </c>
      <c r="M38" s="16" t="s">
        <v>99</v>
      </c>
      <c r="N38" s="16"/>
      <c r="O38" s="16"/>
      <c r="P38" s="16"/>
      <c r="Q38" s="16"/>
    </row>
    <row r="39" spans="1:17" ht="22" customHeight="1">
      <c r="A39" s="17" t="s">
        <v>72</v>
      </c>
      <c r="B39" s="12">
        <f>11639243.322883362</f>
        <v>11639243.322883362</v>
      </c>
      <c r="C39" s="12"/>
      <c r="D39" s="12">
        <f>290802618.31980026</f>
        <v>290802618.31980026</v>
      </c>
      <c r="E39" s="12"/>
      <c r="F39" s="12">
        <f>-433388951.3028209</f>
        <v>-433388951.3028209</v>
      </c>
      <c r="G39" s="12"/>
      <c r="H39" s="12">
        <f>312724701.84635895</f>
        <v>312724701.84635895</v>
      </c>
      <c r="I39" s="12"/>
      <c r="J39" s="12"/>
      <c r="K39" s="7">
        <f>0.005</f>
        <v>0.005</v>
      </c>
      <c r="L39" s="13">
        <f>1</f>
        <v>1</v>
      </c>
      <c r="M39" s="12">
        <f>1563623.5092317949</f>
        <v>1563623.5092317949</v>
      </c>
      <c r="N39" s="12"/>
      <c r="O39" s="12"/>
      <c r="P39" s="12"/>
      <c r="Q39" s="12"/>
    </row>
    <row r="42" spans="1:17" ht="35" customHeight="1">
      <c r="A42" s="16" t="s">
        <v>100</v>
      </c>
      <c r="B42" s="16"/>
      <c r="C42" s="16"/>
      <c r="D42" s="16" t="s">
        <v>101</v>
      </c>
      <c r="E42" s="16"/>
      <c r="F42" s="16"/>
      <c r="G42" s="16"/>
      <c r="H42" s="16" t="s">
        <v>64</v>
      </c>
      <c r="I42" s="16" t="s">
        <v>98</v>
      </c>
      <c r="J42" s="16" t="s">
        <v>102</v>
      </c>
      <c r="K42" s="16"/>
      <c r="L42" s="16"/>
      <c r="M42" s="16"/>
      <c r="N42" s="16"/>
      <c r="O42" s="16"/>
      <c r="P42" s="16"/>
      <c r="Q42" s="16"/>
    </row>
    <row r="43" spans="1:17" ht="22" customHeight="1">
      <c r="A43" s="17" t="s">
        <v>80</v>
      </c>
      <c r="B43" s="17"/>
      <c r="C43" s="17"/>
      <c r="D43" s="12">
        <f>23337276.20388545</f>
        <v>23337276.20388545</v>
      </c>
      <c r="E43" s="12"/>
      <c r="F43" s="12"/>
      <c r="G43" s="12"/>
      <c r="H43" s="7">
        <f>0.04</f>
        <v>0.04</v>
      </c>
      <c r="I43" s="13">
        <f>1</f>
        <v>1</v>
      </c>
      <c r="J43" s="12">
        <f>933491.048155418</f>
        <v>933491.048155418</v>
      </c>
      <c r="K43" s="12"/>
      <c r="L43" s="12"/>
      <c r="M43" s="12"/>
      <c r="N43" s="12"/>
      <c r="O43" s="12"/>
      <c r="P43" s="12"/>
      <c r="Q43" s="12"/>
    </row>
    <row r="44" spans="1:17" ht="22" customHeight="1">
      <c r="A44" s="17" t="s">
        <v>78</v>
      </c>
      <c r="B44" s="17"/>
      <c r="C44" s="17"/>
      <c r="D44" s="12">
        <f>-53644097.416055314</f>
        <v>-53644097.416055314</v>
      </c>
      <c r="E44" s="12"/>
      <c r="F44" s="12"/>
      <c r="G44" s="12"/>
      <c r="H44" s="7">
        <f>0.04</f>
        <v>0.04</v>
      </c>
      <c r="I44" s="13">
        <f>1</f>
        <v>1</v>
      </c>
      <c r="J44" s="12">
        <f>2145763.8966422128</f>
        <v>2145763.8966422128</v>
      </c>
      <c r="K44" s="12"/>
      <c r="L44" s="12"/>
      <c r="M44" s="12"/>
      <c r="N44" s="12"/>
      <c r="O44" s="12"/>
      <c r="P44" s="12"/>
      <c r="Q44" s="12"/>
    </row>
    <row r="47" spans="1:17" ht="35" customHeight="1">
      <c r="A47" s="16" t="s">
        <v>54</v>
      </c>
      <c r="B47" s="16" t="s">
        <v>55</v>
      </c>
      <c r="C47" s="16"/>
      <c r="D47" s="16" t="s">
        <v>103</v>
      </c>
      <c r="E47" s="16"/>
      <c r="F47" s="16" t="s">
        <v>104</v>
      </c>
      <c r="G47" s="16"/>
      <c r="H47" s="16" t="s">
        <v>64</v>
      </c>
      <c r="I47" s="16" t="s">
        <v>105</v>
      </c>
      <c r="J47" s="16" t="s">
        <v>106</v>
      </c>
      <c r="K47" s="16"/>
      <c r="L47" s="16" t="s">
        <v>107</v>
      </c>
      <c r="M47" s="16"/>
      <c r="N47" s="16" t="s">
        <v>108</v>
      </c>
      <c r="O47" s="16"/>
      <c r="P47" s="16" t="s">
        <v>109</v>
      </c>
      <c r="Q47" s="16"/>
    </row>
    <row r="48" spans="1:17" ht="34" customHeight="1">
      <c r="A48" s="17" t="s">
        <v>82</v>
      </c>
      <c r="B48" s="17" t="s">
        <v>83</v>
      </c>
      <c r="C48" s="17"/>
      <c r="D48" s="17" t="s">
        <v>84</v>
      </c>
      <c r="E48" s="17"/>
      <c r="F48" s="12">
        <f>9363291.775690444</f>
        <v>9363291.775690444</v>
      </c>
      <c r="G48" s="12"/>
      <c r="H48" s="7">
        <f>0.18</f>
        <v>0.18</v>
      </c>
      <c r="I48" s="13">
        <f>0.4</f>
        <v>0.4</v>
      </c>
      <c r="J48" s="12">
        <f>1685392.5196242798</f>
        <v>1685392.5196242798</v>
      </c>
      <c r="K48" s="12"/>
      <c r="L48" s="12">
        <f>674157.0078497119</f>
        <v>674157.0078497119</v>
      </c>
      <c r="M48" s="12"/>
      <c r="N48" s="18">
        <f>2386060273972.602</f>
        <v>2386060273972.602</v>
      </c>
      <c r="O48" s="18"/>
      <c r="P48" s="12">
        <f>1685392.5196242798</f>
        <v>1685392.5196242798</v>
      </c>
      <c r="Q48" s="12"/>
    </row>
    <row r="49" spans="1:17" ht="34" customHeight="1">
      <c r="A49" s="17" t="s">
        <v>82</v>
      </c>
      <c r="B49" s="17" t="s">
        <v>86</v>
      </c>
      <c r="C49" s="17"/>
      <c r="D49" s="17" t="s">
        <v>87</v>
      </c>
      <c r="E49" s="17"/>
      <c r="F49" s="12">
        <f>5000000.0</f>
        <v>5000000.0</v>
      </c>
      <c r="G49" s="12"/>
      <c r="H49" s="7">
        <f>0.18</f>
        <v>0.18</v>
      </c>
      <c r="I49" s="13">
        <f>0.4</f>
        <v>0.4</v>
      </c>
      <c r="J49" s="12">
        <f>900000.0</f>
        <v>900000.0</v>
      </c>
      <c r="K49" s="12"/>
      <c r="L49" s="12">
        <f>360000.0</f>
        <v>360000.0</v>
      </c>
      <c r="M49" s="12"/>
      <c r="N49" s="18">
        <f>680400000000.0</f>
        <v>680400000000.0</v>
      </c>
      <c r="O49" s="18"/>
      <c r="P49" s="12">
        <f>900000.0</f>
        <v>900000.0</v>
      </c>
      <c r="Q49" s="12"/>
    </row>
    <row r="50" spans="1:17" ht="34" customHeight="1">
      <c r="A50" s="17" t="s">
        <v>89</v>
      </c>
      <c r="B50" s="17" t="s">
        <v>90</v>
      </c>
      <c r="C50" s="17"/>
      <c r="D50" s="17" t="s">
        <v>91</v>
      </c>
      <c r="E50" s="17"/>
      <c r="F50" s="12">
        <f>1177017.309834675</f>
        <v>1177017.309834675</v>
      </c>
      <c r="G50" s="12"/>
      <c r="H50" s="7">
        <f>0.32</f>
        <v>0.32</v>
      </c>
      <c r="I50" s="13">
        <f>0.5</f>
        <v>0.5</v>
      </c>
      <c r="J50" s="12">
        <f>376645.539147096</f>
        <v>376645.539147096</v>
      </c>
      <c r="K50" s="12"/>
      <c r="L50" s="12">
        <f>188322.769573548</f>
        <v>188322.769573548</v>
      </c>
      <c r="M50" s="12"/>
      <c r="N50" s="18">
        <f>106396396619.55496</f>
        <v>106396396619.55496</v>
      </c>
      <c r="O50" s="18"/>
      <c r="P50" s="12">
        <f>376645.539147096</f>
        <v>376645.539147096</v>
      </c>
      <c r="Q50" s="12"/>
    </row>
    <row r="53" spans="1:17" ht="35" customHeight="1">
      <c r="A53" s="16" t="s">
        <v>54</v>
      </c>
      <c r="B53" s="16" t="s">
        <v>55</v>
      </c>
      <c r="C53" s="16"/>
      <c r="D53" s="16" t="s">
        <v>110</v>
      </c>
      <c r="E53" s="16"/>
      <c r="F53" s="16"/>
      <c r="G53" s="16"/>
      <c r="H53" s="16"/>
      <c r="I53" s="16"/>
      <c r="J53" s="16" t="s">
        <v>111</v>
      </c>
      <c r="K53" s="16"/>
      <c r="L53" s="16"/>
      <c r="M53" s="16"/>
      <c r="N53" s="16" t="s">
        <v>112</v>
      </c>
      <c r="O53" s="16"/>
      <c r="P53" s="16"/>
      <c r="Q53" s="16"/>
    </row>
    <row r="54" spans="1:17" ht="22" customHeight="1">
      <c r="A54" s="17" t="s">
        <v>82</v>
      </c>
      <c r="B54" s="17" t="s">
        <v>83</v>
      </c>
      <c r="C54" s="17"/>
      <c r="D54" s="12">
        <f>674157.0078497119</f>
        <v>674157.0078497119</v>
      </c>
      <c r="E54" s="12"/>
      <c r="F54" s="12"/>
      <c r="G54" s="12"/>
      <c r="H54" s="12"/>
      <c r="I54" s="12"/>
      <c r="J54" s="18">
        <f>2386060273972.602</f>
        <v>2386060273972.602</v>
      </c>
      <c r="K54" s="18"/>
      <c r="L54" s="18"/>
      <c r="M54" s="18"/>
      <c r="N54" s="12">
        <f>1685392.5196242798</f>
        <v>1685392.5196242798</v>
      </c>
      <c r="O54" s="12"/>
      <c r="P54" s="12"/>
      <c r="Q54" s="12"/>
    </row>
    <row r="55" spans="1:17" ht="22" customHeight="1">
      <c r="A55" s="17" t="s">
        <v>82</v>
      </c>
      <c r="B55" s="17" t="s">
        <v>86</v>
      </c>
      <c r="C55" s="17"/>
      <c r="D55" s="12">
        <f>360000.0</f>
        <v>360000.0</v>
      </c>
      <c r="E55" s="12"/>
      <c r="F55" s="12"/>
      <c r="G55" s="12"/>
      <c r="H55" s="12"/>
      <c r="I55" s="12"/>
      <c r="J55" s="18">
        <f>680400000000.0</f>
        <v>680400000000.0</v>
      </c>
      <c r="K55" s="18"/>
      <c r="L55" s="18"/>
      <c r="M55" s="18"/>
      <c r="N55" s="12">
        <f>900000.0</f>
        <v>900000.0</v>
      </c>
      <c r="O55" s="12"/>
      <c r="P55" s="12"/>
      <c r="Q55" s="12"/>
    </row>
    <row r="56" spans="1:17" ht="22" customHeight="1">
      <c r="A56" s="17" t="s">
        <v>89</v>
      </c>
      <c r="B56" s="17" t="s">
        <v>90</v>
      </c>
      <c r="C56" s="17"/>
      <c r="D56" s="12">
        <f>188322.769573548</f>
        <v>188322.769573548</v>
      </c>
      <c r="E56" s="12"/>
      <c r="F56" s="12"/>
      <c r="G56" s="12"/>
      <c r="H56" s="12"/>
      <c r="I56" s="12"/>
      <c r="J56" s="18">
        <f>106396396619.55496</f>
        <v>106396396619.55496</v>
      </c>
      <c r="K56" s="18"/>
      <c r="L56" s="18"/>
      <c r="M56" s="18"/>
      <c r="N56" s="12">
        <f>376645.539147096</f>
        <v>376645.539147096</v>
      </c>
      <c r="O56" s="12"/>
      <c r="P56" s="12"/>
      <c r="Q56" s="12"/>
    </row>
    <row r="59" spans="1:17" ht="24" customHeight="1">
      <c r="A59" s="15" t="s">
        <v>113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ht="35" customHeight="1">
      <c r="A60" s="16" t="s">
        <v>114</v>
      </c>
      <c r="B60" s="16"/>
      <c r="C60" s="16"/>
      <c r="D60" s="16"/>
      <c r="E60" s="16" t="s">
        <v>115</v>
      </c>
      <c r="F60" s="16"/>
      <c r="G60" s="16"/>
      <c r="H60" s="16" t="s">
        <v>116</v>
      </c>
      <c r="I60" s="16"/>
      <c r="J60" s="16"/>
      <c r="K60" s="16"/>
      <c r="L60" s="16"/>
      <c r="M60" s="16"/>
      <c r="N60" s="16"/>
      <c r="O60" s="16"/>
      <c r="P60" s="16"/>
      <c r="Q60" s="16"/>
    </row>
    <row r="61" spans="1:17" ht="27" customHeight="1">
      <c r="A61" s="3" t="s">
        <v>117</v>
      </c>
      <c r="B61" s="3"/>
      <c r="C61" s="3"/>
      <c r="D61" s="3"/>
      <c r="E61" s="12">
        <f>-3220000.0</f>
        <v>-3220000.0</v>
      </c>
      <c r="F61" s="12"/>
      <c r="G61" s="12"/>
      <c r="H61" s="17" t="s">
        <v>118</v>
      </c>
      <c r="I61" s="17"/>
      <c r="J61" s="17"/>
      <c r="K61" s="17"/>
      <c r="L61" s="17"/>
      <c r="M61" s="17"/>
      <c r="N61" s="17"/>
      <c r="O61" s="17"/>
      <c r="P61" s="17"/>
      <c r="Q61" s="17"/>
    </row>
    <row r="62" spans="1:17" ht="27" customHeight="1">
      <c r="A62" s="3" t="s">
        <v>119</v>
      </c>
      <c r="B62" s="3"/>
      <c r="C62" s="3"/>
      <c r="D62" s="3"/>
      <c r="E62" s="12">
        <f>0.0</f>
        <v>0.0</v>
      </c>
      <c r="F62" s="12"/>
      <c r="G62" s="12"/>
      <c r="H62" s="17" t="s">
        <v>120</v>
      </c>
      <c r="I62" s="17"/>
      <c r="J62" s="17"/>
      <c r="K62" s="17"/>
      <c r="L62" s="17"/>
      <c r="M62" s="17"/>
      <c r="N62" s="17"/>
      <c r="O62" s="17"/>
      <c r="P62" s="17"/>
      <c r="Q62" s="17"/>
    </row>
    <row r="63" spans="1:17" ht="27" customHeight="1">
      <c r="A63" s="3" t="s">
        <v>121</v>
      </c>
      <c r="B63" s="3"/>
      <c r="C63" s="3"/>
      <c r="D63" s="3"/>
      <c r="E63" s="12">
        <f>0.0</f>
        <v>0.0</v>
      </c>
      <c r="F63" s="12"/>
      <c r="G63" s="12"/>
      <c r="H63" s="17" t="s">
        <v>122</v>
      </c>
      <c r="I63" s="17"/>
      <c r="J63" s="17"/>
      <c r="K63" s="17"/>
      <c r="L63" s="17"/>
      <c r="M63" s="17"/>
      <c r="N63" s="17"/>
      <c r="O63" s="17"/>
      <c r="P63" s="17"/>
      <c r="Q63" s="17"/>
    </row>
    <row r="64" spans="1:17" ht="27" customHeight="1">
      <c r="A64" s="3" t="s">
        <v>123</v>
      </c>
      <c r="B64" s="3"/>
      <c r="C64" s="3"/>
      <c r="D64" s="3"/>
      <c r="E64" s="19">
        <f>0</f>
        <v>0</v>
      </c>
      <c r="F64" s="19"/>
      <c r="G64" s="19"/>
      <c r="H64" s="17" t="s">
        <v>124</v>
      </c>
      <c r="I64" s="17"/>
      <c r="J64" s="17"/>
      <c r="K64" s="17"/>
      <c r="L64" s="17"/>
      <c r="M64" s="17"/>
      <c r="N64" s="17"/>
      <c r="O64" s="17"/>
      <c r="P64" s="17"/>
      <c r="Q64" s="17"/>
    </row>
    <row r="65" spans="1:17" ht="27" customHeight="1">
      <c r="A65" s="3" t="s">
        <v>125</v>
      </c>
      <c r="B65" s="3"/>
      <c r="C65" s="3"/>
      <c r="D65" s="3"/>
      <c r="E65" s="13">
        <f>0.8102250113631682</f>
        <v>0.8102250113631682</v>
      </c>
      <c r="F65" s="13"/>
      <c r="G65" s="13"/>
      <c r="H65" s="17" t="s">
        <v>126</v>
      </c>
      <c r="I65" s="17"/>
      <c r="J65" s="17"/>
      <c r="K65" s="17"/>
      <c r="L65" s="17"/>
      <c r="M65" s="17"/>
      <c r="N65" s="17"/>
      <c r="O65" s="17"/>
      <c r="P65" s="17"/>
      <c r="Q65" s="17"/>
    </row>
    <row r="66" spans="1:17" ht="27" customHeight="1">
      <c r="A66" s="3" t="s">
        <v>127</v>
      </c>
      <c r="B66" s="3"/>
      <c r="C66" s="3"/>
      <c r="D66" s="3"/>
      <c r="E66" s="19">
        <f>7604916.512800802</f>
        <v>7604916.512800802</v>
      </c>
      <c r="F66" s="19"/>
      <c r="G66" s="19"/>
      <c r="H66" s="17" t="s">
        <v>128</v>
      </c>
      <c r="I66" s="17"/>
      <c r="J66" s="17"/>
      <c r="K66" s="17"/>
      <c r="L66" s="17"/>
      <c r="M66" s="17"/>
      <c r="N66" s="17"/>
      <c r="O66" s="17"/>
      <c r="P66" s="17"/>
      <c r="Q66" s="17"/>
    </row>
    <row r="67" spans="1:17" ht="27" customHeight="1">
      <c r="A67" s="3" t="s">
        <v>129</v>
      </c>
      <c r="B67" s="3"/>
      <c r="C67" s="3"/>
      <c r="D67" s="3"/>
      <c r="E67" s="19">
        <f>1563623.5092317949</f>
        <v>1563623.5092317949</v>
      </c>
      <c r="F67" s="19"/>
      <c r="G67" s="19"/>
      <c r="H67" s="17" t="s">
        <v>130</v>
      </c>
      <c r="I67" s="17"/>
      <c r="J67" s="17"/>
      <c r="K67" s="17"/>
      <c r="L67" s="17"/>
      <c r="M67" s="17"/>
      <c r="N67" s="17"/>
      <c r="O67" s="17"/>
      <c r="P67" s="17"/>
      <c r="Q67" s="17"/>
    </row>
    <row r="68" spans="1:17" ht="27" customHeight="1">
      <c r="A68" s="3" t="s">
        <v>131</v>
      </c>
      <c r="B68" s="3"/>
      <c r="C68" s="3"/>
      <c r="D68" s="3"/>
      <c r="E68" s="19">
        <f>3079254.944797631</f>
        <v>3079254.944797631</v>
      </c>
      <c r="F68" s="19"/>
      <c r="G68" s="19"/>
      <c r="H68" s="17" t="s">
        <v>130</v>
      </c>
      <c r="I68" s="17"/>
      <c r="J68" s="17"/>
      <c r="K68" s="17"/>
      <c r="L68" s="17"/>
      <c r="M68" s="17"/>
      <c r="N68" s="17"/>
      <c r="O68" s="17"/>
      <c r="P68" s="17"/>
      <c r="Q68" s="17"/>
    </row>
    <row r="69" spans="1:17" ht="27" customHeight="1">
      <c r="A69" s="3" t="s">
        <v>132</v>
      </c>
      <c r="B69" s="3"/>
      <c r="C69" s="3"/>
      <c r="D69" s="3"/>
      <c r="E69" s="19">
        <f>0.0</f>
        <v>0.0</v>
      </c>
      <c r="F69" s="19"/>
      <c r="G69" s="19"/>
      <c r="H69" s="17" t="s">
        <v>130</v>
      </c>
      <c r="I69" s="17"/>
      <c r="J69" s="17"/>
      <c r="K69" s="17"/>
      <c r="L69" s="17"/>
      <c r="M69" s="17"/>
      <c r="N69" s="17"/>
      <c r="O69" s="17"/>
      <c r="P69" s="17"/>
      <c r="Q69" s="17"/>
    </row>
    <row r="70" spans="1:17" ht="27" customHeight="1">
      <c r="A70" s="3" t="s">
        <v>133</v>
      </c>
      <c r="B70" s="3"/>
      <c r="C70" s="3"/>
      <c r="D70" s="3"/>
      <c r="E70" s="19">
        <f>376645.539147096</f>
        <v>376645.539147096</v>
      </c>
      <c r="F70" s="19"/>
      <c r="G70" s="19"/>
      <c r="H70" s="17" t="s">
        <v>130</v>
      </c>
      <c r="I70" s="17"/>
      <c r="J70" s="17"/>
      <c r="K70" s="17"/>
      <c r="L70" s="17"/>
      <c r="M70" s="17"/>
      <c r="N70" s="17"/>
      <c r="O70" s="17"/>
      <c r="P70" s="17"/>
      <c r="Q70" s="17"/>
    </row>
    <row r="71" spans="1:17" ht="27" customHeight="1">
      <c r="A71" s="3" t="s">
        <v>134</v>
      </c>
      <c r="B71" s="3"/>
      <c r="C71" s="3"/>
      <c r="D71" s="3"/>
      <c r="E71" s="19">
        <f>2585392.51962428</f>
        <v>2585392.51962428</v>
      </c>
      <c r="F71" s="19"/>
      <c r="G71" s="19"/>
      <c r="H71" s="17" t="s">
        <v>130</v>
      </c>
      <c r="I71" s="17"/>
      <c r="J71" s="17"/>
      <c r="K71" s="17"/>
      <c r="L71" s="17"/>
      <c r="M71" s="17"/>
      <c r="N71" s="17"/>
      <c r="O71" s="17"/>
      <c r="P71" s="17"/>
      <c r="Q71" s="17"/>
    </row>
    <row r="72" spans="1:17" ht="27" customHeight="1">
      <c r="A72" s="3" t="s">
        <v>135</v>
      </c>
      <c r="B72" s="3"/>
      <c r="C72" s="3"/>
      <c r="D72" s="3"/>
      <c r="E72" s="19">
        <f>6161693.567999975</f>
        <v>6161693.567999975</v>
      </c>
      <c r="F72" s="19"/>
      <c r="G72" s="19"/>
      <c r="H72" s="17" t="s">
        <v>136</v>
      </c>
      <c r="I72" s="17"/>
      <c r="J72" s="17"/>
      <c r="K72" s="17"/>
      <c r="L72" s="17"/>
      <c r="M72" s="17"/>
      <c r="N72" s="17"/>
      <c r="O72" s="17"/>
      <c r="P72" s="17"/>
      <c r="Q72" s="17"/>
    </row>
    <row r="73" spans="1:17" ht="27" customHeight="1">
      <c r="A73" s="3" t="s">
        <v>137</v>
      </c>
      <c r="B73" s="3"/>
      <c r="C73" s="3"/>
      <c r="D73" s="3"/>
      <c r="E73" s="19">
        <f>8626370.995199963</f>
        <v>8626370.995199963</v>
      </c>
      <c r="F73" s="19"/>
      <c r="G73" s="19"/>
      <c r="H73" s="17" t="s">
        <v>138</v>
      </c>
      <c r="I73" s="17"/>
      <c r="J73" s="17"/>
      <c r="K73" s="17"/>
      <c r="L73" s="17"/>
      <c r="M73" s="17"/>
      <c r="N73" s="17"/>
      <c r="O73" s="17"/>
      <c r="P73" s="17"/>
      <c r="Q73" s="17"/>
    </row>
    <row r="74" spans="1:17" ht="27" customHeight="1">
      <c r="A74" s="3" t="s">
        <v>139</v>
      </c>
      <c r="B74" s="3"/>
      <c r="C74" s="3"/>
      <c r="D74" s="3"/>
      <c r="E74" s="7">
        <f>0.75</f>
        <v>0.75</v>
      </c>
      <c r="F74" s="7"/>
      <c r="G74" s="7"/>
      <c r="H74" s="17" t="s">
        <v>140</v>
      </c>
      <c r="I74" s="17"/>
      <c r="J74" s="17"/>
      <c r="K74" s="17"/>
      <c r="L74" s="17"/>
      <c r="M74" s="17"/>
      <c r="N74" s="17"/>
      <c r="O74" s="17"/>
      <c r="P74" s="17"/>
      <c r="Q74" s="17"/>
    </row>
    <row r="75" spans="1:17" ht="27" customHeight="1">
      <c r="A75" s="3" t="s">
        <v>141</v>
      </c>
      <c r="B75" s="3"/>
      <c r="C75" s="3"/>
      <c r="D75" s="3"/>
      <c r="E75" s="19">
        <f>6469778.246399973</f>
        <v>6469778.246399973</v>
      </c>
      <c r="F75" s="19"/>
      <c r="G75" s="19"/>
      <c r="H75" s="17" t="s">
        <v>142</v>
      </c>
      <c r="I75" s="17"/>
      <c r="J75" s="17"/>
      <c r="K75" s="17"/>
      <c r="L75" s="17"/>
      <c r="M75" s="17"/>
      <c r="N75" s="17"/>
      <c r="O75" s="17"/>
      <c r="P75" s="17"/>
      <c r="Q75" s="17"/>
    </row>
    <row r="76" spans="1:17" ht="27" customHeight="1">
      <c r="A76" s="3" t="s">
        <v>143</v>
      </c>
      <c r="B76" s="3"/>
      <c r="C76" s="3"/>
      <c r="D76" s="3"/>
      <c r="E76" s="19">
        <f>517582.2597119978</f>
        <v>517582.2597119978</v>
      </c>
      <c r="F76" s="19"/>
      <c r="G76" s="19"/>
      <c r="H76" s="17" t="s">
        <v>144</v>
      </c>
      <c r="I76" s="17"/>
      <c r="J76" s="17"/>
      <c r="K76" s="17"/>
      <c r="L76" s="17"/>
      <c r="M76" s="17"/>
      <c r="N76" s="17"/>
      <c r="O76" s="17"/>
      <c r="P76" s="17"/>
      <c r="Q76" s="17"/>
    </row>
    <row r="77" spans="1:17" ht="27" customHeight="1">
      <c r="A77" s="3" t="s">
        <v>145</v>
      </c>
      <c r="B77" s="3"/>
      <c r="C77" s="3"/>
      <c r="D77" s="3"/>
      <c r="E77" s="12">
        <f>8626370.995199963</f>
        <v>8626370.995199963</v>
      </c>
      <c r="F77" s="12"/>
      <c r="G77" s="12"/>
      <c r="H77" s="17" t="s">
        <v>146</v>
      </c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27" customHeight="1">
      <c r="A78" s="3" t="s">
        <v>147</v>
      </c>
      <c r="B78" s="3"/>
      <c r="C78" s="3"/>
      <c r="D78" s="3"/>
      <c r="E78" s="12">
        <f>0.0</f>
        <v>0.0</v>
      </c>
      <c r="F78" s="12"/>
      <c r="G78" s="12"/>
      <c r="H78" s="17" t="s">
        <v>148</v>
      </c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27" customHeight="1">
      <c r="A79" s="3" t="s">
        <v>149</v>
      </c>
      <c r="B79" s="3"/>
      <c r="C79" s="3"/>
      <c r="D79" s="3"/>
      <c r="E79" s="12">
        <f>7604916.512800802</f>
        <v>7604916.512800802</v>
      </c>
      <c r="F79" s="12"/>
      <c r="G79" s="12"/>
      <c r="H79" s="17" t="s">
        <v>150</v>
      </c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27" customHeight="1">
      <c r="A80" s="3" t="s">
        <v>151</v>
      </c>
      <c r="B80" s="3"/>
      <c r="C80" s="3"/>
      <c r="D80" s="3"/>
      <c r="E80" s="12">
        <f>0</f>
        <v>0</v>
      </c>
      <c r="F80" s="12"/>
      <c r="G80" s="12"/>
      <c r="H80" s="17" t="s">
        <v>152</v>
      </c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27" customHeight="1">
      <c r="A81" s="3" t="s">
        <v>153</v>
      </c>
      <c r="B81" s="3"/>
      <c r="C81" s="3"/>
      <c r="D81" s="3"/>
      <c r="E81" s="13">
        <f>0.8102250113631682</f>
        <v>0.8102250113631682</v>
      </c>
      <c r="F81" s="13"/>
      <c r="G81" s="13"/>
      <c r="H81" s="17" t="s">
        <v>154</v>
      </c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27" customHeight="1">
      <c r="A82" s="3" t="s">
        <v>155</v>
      </c>
      <c r="B82" s="3"/>
      <c r="C82" s="3"/>
      <c r="D82" s="3"/>
      <c r="E82" s="12">
        <f>8626370.995199963</f>
        <v>8626370.995199963</v>
      </c>
      <c r="F82" s="12"/>
      <c r="G82" s="12"/>
      <c r="H82" s="17" t="s">
        <v>156</v>
      </c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27" customHeight="1">
      <c r="A83" s="3" t="s">
        <v>157</v>
      </c>
      <c r="B83" s="3"/>
      <c r="C83" s="3"/>
      <c r="D83" s="3"/>
      <c r="E83" s="11">
        <f>0</f>
        <v>0</v>
      </c>
      <c r="F83" s="11"/>
      <c r="G83" s="11"/>
      <c r="H83" s="17" t="s">
        <v>158</v>
      </c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27" customHeight="1">
      <c r="A84" s="3" t="s">
        <v>159</v>
      </c>
      <c r="B84" s="3"/>
      <c r="C84" s="3"/>
      <c r="D84" s="3"/>
      <c r="E84" s="12">
        <f>0</f>
        <v>0</v>
      </c>
      <c r="F84" s="12"/>
      <c r="G84" s="12"/>
      <c r="H84" s="17" t="s">
        <v>160</v>
      </c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27" customHeight="1">
      <c r="A85" s="3" t="s">
        <v>161</v>
      </c>
      <c r="B85" s="3"/>
      <c r="C85" s="3"/>
      <c r="D85" s="3"/>
      <c r="E85" s="11">
        <f>0</f>
        <v>0</v>
      </c>
      <c r="F85" s="11"/>
      <c r="G85" s="11"/>
      <c r="H85" s="17" t="s">
        <v>162</v>
      </c>
      <c r="I85" s="17"/>
      <c r="J85" s="17"/>
      <c r="K85" s="17"/>
      <c r="L85" s="17"/>
      <c r="M85" s="17"/>
      <c r="N85" s="17"/>
      <c r="O85" s="17"/>
      <c r="P85" s="17"/>
      <c r="Q85" s="17"/>
    </row>
    <row r="89" spans="1:17" ht="24" customHeight="1">
      <c r="A89" s="15" t="s">
        <v>163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spans="1:17" ht="35" customHeight="1">
      <c r="A90" s="16" t="s">
        <v>164</v>
      </c>
      <c r="B90" s="16" t="s">
        <v>165</v>
      </c>
      <c r="C90" s="16" t="s">
        <v>166</v>
      </c>
      <c r="D90" s="16" t="s">
        <v>167</v>
      </c>
      <c r="E90" s="16" t="s">
        <v>168</v>
      </c>
      <c r="F90" s="16" t="s">
        <v>169</v>
      </c>
      <c r="G90" s="16" t="s">
        <v>170</v>
      </c>
      <c r="H90" s="16" t="s">
        <v>171</v>
      </c>
      <c r="I90" s="16" t="s">
        <v>172</v>
      </c>
      <c r="J90" s="16" t="s">
        <v>173</v>
      </c>
      <c r="K90" s="16" t="s">
        <v>174</v>
      </c>
      <c r="L90" s="16" t="s">
        <v>175</v>
      </c>
      <c r="M90" s="16" t="s">
        <v>176</v>
      </c>
      <c r="N90" s="16" t="s">
        <v>177</v>
      </c>
      <c r="O90" s="16" t="s">
        <v>178</v>
      </c>
      <c r="P90" s="16" t="s">
        <v>179</v>
      </c>
      <c r="Q90" s="16" t="s">
        <v>180</v>
      </c>
    </row>
    <row r="91" spans="1:17" ht="46" customHeight="1">
      <c r="A91" s="10" t="s">
        <v>70</v>
      </c>
      <c r="B91" s="10" t="s">
        <v>71</v>
      </c>
      <c r="C91" s="10" t="s">
        <v>181</v>
      </c>
      <c r="D91" s="10" t="s">
        <v>72</v>
      </c>
      <c r="E91" s="6">
        <v>100000000</v>
      </c>
      <c r="F91" s="13">
        <f>1.0</f>
        <v>1.0</v>
      </c>
      <c r="G91" s="12">
        <f>100000000.0</f>
        <v>100000000.0</v>
      </c>
      <c r="H91" s="4">
        <v>45096</v>
      </c>
      <c r="I91" s="4">
        <v>46923</v>
      </c>
      <c r="J91" s="6">
        <v>-2500000</v>
      </c>
      <c r="K91" s="10"/>
      <c r="L91" s="10"/>
      <c r="Q91" s="4">
        <v>45092</v>
      </c>
    </row>
    <row r="92" spans="1:17" ht="46" customHeight="1">
      <c r="A92" s="10" t="s">
        <v>74</v>
      </c>
      <c r="B92" s="10" t="s">
        <v>71</v>
      </c>
      <c r="C92" s="10" t="s">
        <v>182</v>
      </c>
      <c r="D92" s="10" t="s">
        <v>72</v>
      </c>
      <c r="E92" s="6">
        <v>50000000</v>
      </c>
      <c r="F92" s="13">
        <f>1.0</f>
        <v>1.0</v>
      </c>
      <c r="G92" s="12">
        <f>50000000.0</f>
        <v>50000000.0</v>
      </c>
      <c r="H92" s="4">
        <v>45540</v>
      </c>
      <c r="I92" s="4">
        <v>49923</v>
      </c>
      <c r="J92" s="6">
        <v>-1200000</v>
      </c>
      <c r="K92" s="10"/>
      <c r="L92" s="10"/>
      <c r="Q92" s="4">
        <v>45538</v>
      </c>
    </row>
    <row r="93" spans="1:17" ht="46" customHeight="1">
      <c r="A93" s="10" t="s">
        <v>75</v>
      </c>
      <c r="B93" s="10" t="s">
        <v>71</v>
      </c>
      <c r="C93" s="10" t="s">
        <v>181</v>
      </c>
      <c r="D93" s="10" t="s">
        <v>72</v>
      </c>
      <c r="E93" s="6">
        <v>50000000</v>
      </c>
      <c r="F93" s="13">
        <f>1.0</f>
        <v>1.0</v>
      </c>
      <c r="G93" s="12">
        <f>50000000.0</f>
        <v>50000000.0</v>
      </c>
      <c r="H93" s="4">
        <v>45672</v>
      </c>
      <c r="I93" s="4">
        <v>45915</v>
      </c>
      <c r="J93" s="6">
        <v>120000</v>
      </c>
      <c r="K93" s="10"/>
      <c r="L93" s="10"/>
      <c r="Q93" s="4">
        <v>45670</v>
      </c>
    </row>
    <row r="94" spans="1:17" ht="46" customHeight="1">
      <c r="A94" s="10" t="s">
        <v>76</v>
      </c>
      <c r="B94" s="10" t="s">
        <v>77</v>
      </c>
      <c r="C94" s="10" t="s">
        <v>183</v>
      </c>
      <c r="D94" s="10" t="s">
        <v>184</v>
      </c>
      <c r="E94" s="6">
        <v>15000000000</v>
      </c>
      <c r="F94" s="13">
        <f>0.00648508430609598</f>
        <v>0.00648508430609598</v>
      </c>
      <c r="G94" s="12">
        <f>97276264.5914397</f>
        <v>97276264.5914397</v>
      </c>
      <c r="H94" s="4">
        <v>45706</v>
      </c>
      <c r="I94" s="4">
        <v>45887</v>
      </c>
      <c r="J94" s="6">
        <v>-95000</v>
      </c>
      <c r="K94" s="10"/>
      <c r="L94" s="10"/>
      <c r="Q94" s="4">
        <v>45702</v>
      </c>
    </row>
    <row r="95" spans="1:17" ht="46" customHeight="1">
      <c r="A95" s="10" t="s">
        <v>79</v>
      </c>
      <c r="B95" s="10" t="s">
        <v>77</v>
      </c>
      <c r="C95" s="10" t="s">
        <v>185</v>
      </c>
      <c r="D95" s="10" t="s">
        <v>186</v>
      </c>
      <c r="E95" s="6">
        <v>25000000</v>
      </c>
      <c r="F95" s="13">
        <f>1.0735</f>
        <v>1.0735</v>
      </c>
      <c r="G95" s="12">
        <f>26837499.999999996</f>
        <v>26837499.999999996</v>
      </c>
      <c r="H95" s="4">
        <v>45691</v>
      </c>
      <c r="I95" s="4">
        <v>46052</v>
      </c>
      <c r="J95" s="6">
        <v>85000</v>
      </c>
      <c r="K95" s="10"/>
      <c r="L95" s="10"/>
      <c r="Q95" s="4">
        <v>45687</v>
      </c>
    </row>
    <row r="96" spans="1:17" ht="46" customHeight="1">
      <c r="A96" s="10" t="s">
        <v>81</v>
      </c>
      <c r="B96" s="10" t="s">
        <v>82</v>
      </c>
      <c r="C96" s="10" t="s">
        <v>187</v>
      </c>
      <c r="D96" s="10" t="s">
        <v>72</v>
      </c>
      <c r="E96" s="6">
        <v>10000000</v>
      </c>
      <c r="F96" s="13">
        <f>1.0</f>
        <v>1.0</v>
      </c>
      <c r="G96" s="12">
        <f>10000000.0</f>
        <v>10000000.0</v>
      </c>
      <c r="H96" s="4">
        <v>45723</v>
      </c>
      <c r="I96" s="4">
        <v>46096</v>
      </c>
      <c r="J96" s="6">
        <v>520000</v>
      </c>
      <c r="K96" s="10" t="s">
        <v>84</v>
      </c>
      <c r="L96" s="10"/>
      <c r="Q96" s="4">
        <v>45721</v>
      </c>
    </row>
    <row r="97" spans="1:17" ht="46" customHeight="1">
      <c r="A97" s="10" t="s">
        <v>85</v>
      </c>
      <c r="B97" s="10" t="s">
        <v>82</v>
      </c>
      <c r="C97" s="10" t="s">
        <v>187</v>
      </c>
      <c r="D97" s="10" t="s">
        <v>72</v>
      </c>
      <c r="E97" s="6">
        <v>5000000</v>
      </c>
      <c r="F97" s="13">
        <f>1.0</f>
        <v>1.0</v>
      </c>
      <c r="G97" s="12">
        <f>5000000.0</f>
        <v>5000000.0</v>
      </c>
      <c r="H97" s="4">
        <v>45717</v>
      </c>
      <c r="I97" s="4">
        <v>46142</v>
      </c>
      <c r="J97" s="6">
        <v>30000</v>
      </c>
      <c r="K97" s="10" t="s">
        <v>87</v>
      </c>
      <c r="L97" s="10"/>
      <c r="Q97" s="4">
        <v>45714</v>
      </c>
    </row>
    <row r="98" spans="1:17" ht="46" customHeight="1">
      <c r="A98" s="10" t="s">
        <v>88</v>
      </c>
      <c r="B98" s="10" t="s">
        <v>89</v>
      </c>
      <c r="C98" s="10" t="s">
        <v>188</v>
      </c>
      <c r="D98" s="10" t="s">
        <v>72</v>
      </c>
      <c r="E98" s="6">
        <v>5000000</v>
      </c>
      <c r="F98" s="13">
        <f>1.0</f>
        <v>1.0</v>
      </c>
      <c r="G98" s="12">
        <f>5000000.0</f>
        <v>5000000.0</v>
      </c>
      <c r="H98" s="4">
        <v>45770</v>
      </c>
      <c r="I98" s="4">
        <v>45953</v>
      </c>
      <c r="J98" s="6">
        <v>-180000</v>
      </c>
      <c r="K98" s="10" t="s">
        <v>91</v>
      </c>
      <c r="L98" s="10" t="s">
        <v>189</v>
      </c>
      <c r="M98" s="6">
        <v>485</v>
      </c>
      <c r="N98" s="6">
        <v>485</v>
      </c>
      <c r="O98" s="8">
        <v>1.2</v>
      </c>
      <c r="P98" s="5">
        <v>0.4849</v>
      </c>
      <c r="Q98" s="4">
        <v>45768</v>
      </c>
    </row>
    <row r="102" spans="1:17" ht="24" customHeight="1">
      <c r="A102" s="15" t="s">
        <v>190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ht="35" customHeight="1">
      <c r="A103" s="16" t="s">
        <v>54</v>
      </c>
      <c r="B103" s="16" t="s">
        <v>191</v>
      </c>
      <c r="C103" s="16"/>
      <c r="D103" s="16"/>
      <c r="E103" s="16" t="s">
        <v>64</v>
      </c>
      <c r="F103" s="16" t="s">
        <v>105</v>
      </c>
      <c r="G103" s="16" t="s">
        <v>178</v>
      </c>
      <c r="H103" s="16" t="s">
        <v>192</v>
      </c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 ht="22" customHeight="1">
      <c r="A104" s="10" t="s">
        <v>71</v>
      </c>
      <c r="B104" s="10"/>
      <c r="C104" s="10"/>
      <c r="D104" s="10"/>
      <c r="E104" s="8">
        <v>0.005</v>
      </c>
      <c r="G104" s="8">
        <v>0.5</v>
      </c>
      <c r="H104" s="3" t="s">
        <v>193</v>
      </c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22" customHeight="1">
      <c r="A105" s="10" t="s">
        <v>77</v>
      </c>
      <c r="B105" s="10"/>
      <c r="C105" s="10"/>
      <c r="D105" s="10"/>
      <c r="E105" s="8">
        <v>0.04</v>
      </c>
      <c r="G105" s="8">
        <v>0.15</v>
      </c>
      <c r="H105" s="3" t="s">
        <v>193</v>
      </c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22" customHeight="1">
      <c r="A106" s="10" t="s">
        <v>194</v>
      </c>
      <c r="B106" s="10" t="s">
        <v>195</v>
      </c>
      <c r="C106" s="10"/>
      <c r="D106" s="10"/>
      <c r="E106" s="8">
        <v>0.0046</v>
      </c>
      <c r="F106" s="5">
        <v>0.5</v>
      </c>
      <c r="G106" s="8">
        <v>1</v>
      </c>
      <c r="H106" s="3" t="s">
        <v>193</v>
      </c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22" customHeight="1">
      <c r="A107" s="10" t="s">
        <v>194</v>
      </c>
      <c r="B107" s="10" t="s">
        <v>196</v>
      </c>
      <c r="C107" s="10"/>
      <c r="D107" s="10"/>
      <c r="E107" s="8">
        <v>0.013</v>
      </c>
      <c r="F107" s="5">
        <v>0.5</v>
      </c>
      <c r="G107" s="8">
        <v>1</v>
      </c>
      <c r="H107" s="3" t="s">
        <v>193</v>
      </c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22" customHeight="1">
      <c r="A108" s="10" t="s">
        <v>194</v>
      </c>
      <c r="B108" s="10" t="s">
        <v>197</v>
      </c>
      <c r="C108" s="10"/>
      <c r="D108" s="10"/>
      <c r="E108" s="8">
        <v>0.0038</v>
      </c>
      <c r="F108" s="5">
        <v>0.8</v>
      </c>
      <c r="G108" s="8">
        <v>0.8</v>
      </c>
      <c r="H108" s="3" t="s">
        <v>193</v>
      </c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22" customHeight="1">
      <c r="A109" s="10" t="s">
        <v>194</v>
      </c>
      <c r="B109" s="10" t="s">
        <v>198</v>
      </c>
      <c r="C109" s="10"/>
      <c r="D109" s="10"/>
      <c r="E109" s="8">
        <v>0.0106</v>
      </c>
      <c r="F109" s="5">
        <v>0.8</v>
      </c>
      <c r="G109" s="8">
        <v>0.8</v>
      </c>
      <c r="H109" s="3" t="s">
        <v>193</v>
      </c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22" customHeight="1">
      <c r="A110" s="10" t="s">
        <v>89</v>
      </c>
      <c r="B110" s="10" t="s">
        <v>199</v>
      </c>
      <c r="C110" s="10"/>
      <c r="D110" s="10"/>
      <c r="E110" s="8">
        <v>0.32</v>
      </c>
      <c r="F110" s="5">
        <v>0.5</v>
      </c>
      <c r="G110" s="8">
        <v>1.2</v>
      </c>
      <c r="H110" s="3" t="s">
        <v>193</v>
      </c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22" customHeight="1">
      <c r="A111" s="10" t="s">
        <v>89</v>
      </c>
      <c r="B111" s="10" t="s">
        <v>200</v>
      </c>
      <c r="C111" s="10"/>
      <c r="D111" s="10"/>
      <c r="E111" s="8">
        <v>0.2</v>
      </c>
      <c r="F111" s="5">
        <v>0.8</v>
      </c>
      <c r="G111" s="8">
        <v>0.75</v>
      </c>
      <c r="H111" s="3" t="s">
        <v>193</v>
      </c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22" customHeight="1">
      <c r="A112" s="10" t="s">
        <v>82</v>
      </c>
      <c r="B112" s="10" t="s">
        <v>201</v>
      </c>
      <c r="C112" s="10"/>
      <c r="D112" s="10"/>
      <c r="E112" s="8">
        <v>0.4</v>
      </c>
      <c r="F112" s="5">
        <v>0.4</v>
      </c>
      <c r="G112" s="8">
        <v>1.5</v>
      </c>
      <c r="H112" s="3" t="s">
        <v>193</v>
      </c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22" customHeight="1">
      <c r="A113" s="10" t="s">
        <v>82</v>
      </c>
      <c r="B113" s="10" t="s">
        <v>202</v>
      </c>
      <c r="C113" s="10"/>
      <c r="D113" s="10"/>
      <c r="E113" s="8">
        <v>0.18</v>
      </c>
      <c r="F113" s="5">
        <v>0.4</v>
      </c>
      <c r="G113" s="8">
        <v>0.7</v>
      </c>
      <c r="H113" s="3" t="s">
        <v>193</v>
      </c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22" customHeight="1">
      <c r="A114" s="10" t="s">
        <v>82</v>
      </c>
      <c r="B114" s="10" t="s">
        <v>86</v>
      </c>
      <c r="C114" s="10"/>
      <c r="D114" s="10"/>
      <c r="E114" s="8">
        <v>0.18</v>
      </c>
      <c r="F114" s="5">
        <v>0.4</v>
      </c>
      <c r="G114" s="8">
        <v>0.7</v>
      </c>
      <c r="H114" s="3" t="s">
        <v>193</v>
      </c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22" customHeight="1">
      <c r="A115" s="10" t="s">
        <v>82</v>
      </c>
      <c r="B115" s="10" t="s">
        <v>203</v>
      </c>
      <c r="C115" s="10"/>
      <c r="D115" s="10"/>
      <c r="E115" s="8">
        <v>0.18</v>
      </c>
      <c r="F115" s="5">
        <v>0.4</v>
      </c>
      <c r="G115" s="8">
        <v>0.7</v>
      </c>
      <c r="H115" s="3" t="s">
        <v>193</v>
      </c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22" customHeight="1">
      <c r="A116" s="10" t="s">
        <v>82</v>
      </c>
      <c r="B116" s="10" t="s">
        <v>204</v>
      </c>
      <c r="C116" s="10"/>
      <c r="D116" s="10"/>
      <c r="E116" s="8">
        <v>0.18</v>
      </c>
      <c r="F116" s="5">
        <v>0.4</v>
      </c>
      <c r="G116" s="8">
        <v>0.7</v>
      </c>
      <c r="H116" s="3" t="s">
        <v>193</v>
      </c>
      <c r="I116" s="3"/>
      <c r="J116" s="3"/>
      <c r="K116" s="3"/>
      <c r="L116" s="3"/>
      <c r="M116" s="3"/>
      <c r="N116" s="3"/>
      <c r="O116" s="3"/>
      <c r="P116" s="3"/>
      <c r="Q116" s="3"/>
    </row>
    <row r="120" spans="1:17" ht="24" customHeight="1">
      <c r="A120" s="15" t="s">
        <v>205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17" ht="35" customHeight="1">
      <c r="A121" s="16" t="s">
        <v>24</v>
      </c>
      <c r="B121" s="16"/>
      <c r="C121" s="16" t="s">
        <v>28</v>
      </c>
      <c r="D121" s="16" t="s">
        <v>206</v>
      </c>
      <c r="E121" s="16" t="s">
        <v>207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 ht="22" customHeight="1">
      <c r="A122" s="10" t="s">
        <v>208</v>
      </c>
      <c r="B122" s="10"/>
      <c r="C122" s="10" t="s">
        <v>209</v>
      </c>
      <c r="D122" s="8">
        <v>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 spans="1:17" ht="22" customHeight="1">
      <c r="A123" s="10" t="s">
        <v>208</v>
      </c>
      <c r="B123" s="10"/>
      <c r="C123" s="10" t="s">
        <v>210</v>
      </c>
      <c r="D123" s="8">
        <v>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 spans="1:17" ht="22" customHeight="1">
      <c r="A124" s="10" t="s">
        <v>208</v>
      </c>
      <c r="B124" s="10"/>
      <c r="C124" s="10" t="s">
        <v>211</v>
      </c>
      <c r="D124" s="8">
        <v>0.2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 spans="1:17" ht="22" customHeight="1">
      <c r="A125" s="10" t="s">
        <v>208</v>
      </c>
      <c r="B125" s="10"/>
      <c r="C125" s="10" t="s">
        <v>29</v>
      </c>
      <c r="D125" s="8">
        <v>0.5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 spans="1:17" ht="22" customHeight="1">
      <c r="A126" s="10" t="s">
        <v>208</v>
      </c>
      <c r="B126" s="10"/>
      <c r="C126" s="10" t="s">
        <v>212</v>
      </c>
      <c r="D126" s="8">
        <v>1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 spans="1:17" ht="22" customHeight="1">
      <c r="A127" s="10" t="s">
        <v>208</v>
      </c>
      <c r="B127" s="10"/>
      <c r="C127" s="10" t="s">
        <v>213</v>
      </c>
      <c r="D127" s="8">
        <v>1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1:17" ht="22" customHeight="1">
      <c r="A128" s="10" t="s">
        <v>208</v>
      </c>
      <c r="B128" s="10"/>
      <c r="C128" s="10" t="s">
        <v>214</v>
      </c>
      <c r="D128" s="8">
        <v>1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1:17" ht="22" customHeight="1">
      <c r="A129" s="10" t="s">
        <v>215</v>
      </c>
      <c r="B129" s="10"/>
      <c r="C129" s="10" t="s">
        <v>209</v>
      </c>
      <c r="D129" s="8">
        <v>0.2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1:17" ht="22" customHeight="1">
      <c r="A130" s="10" t="s">
        <v>215</v>
      </c>
      <c r="B130" s="10"/>
      <c r="C130" s="10" t="s">
        <v>210</v>
      </c>
      <c r="D130" s="8">
        <v>0.2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 spans="1:17" ht="22" customHeight="1">
      <c r="A131" s="10" t="s">
        <v>215</v>
      </c>
      <c r="B131" s="10"/>
      <c r="C131" s="10" t="s">
        <v>211</v>
      </c>
      <c r="D131" s="8">
        <v>0.3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 spans="1:17" ht="22" customHeight="1">
      <c r="A132" s="10" t="s">
        <v>215</v>
      </c>
      <c r="B132" s="10"/>
      <c r="C132" s="10" t="s">
        <v>29</v>
      </c>
      <c r="D132" s="8">
        <v>0.5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 spans="1:17" ht="22" customHeight="1">
      <c r="A133" s="10" t="s">
        <v>215</v>
      </c>
      <c r="B133" s="10"/>
      <c r="C133" s="10" t="s">
        <v>212</v>
      </c>
      <c r="D133" s="8">
        <v>1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 spans="1:17" ht="22" customHeight="1">
      <c r="A134" s="10" t="s">
        <v>215</v>
      </c>
      <c r="B134" s="10"/>
      <c r="C134" s="10" t="s">
        <v>213</v>
      </c>
      <c r="D134" s="8">
        <v>1.5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 spans="1:17" ht="22" customHeight="1">
      <c r="A135" s="10" t="s">
        <v>215</v>
      </c>
      <c r="B135" s="10"/>
      <c r="C135" s="10" t="s">
        <v>214</v>
      </c>
      <c r="D135" s="8">
        <v>0.5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22" customHeight="1">
      <c r="A136" s="10" t="s">
        <v>25</v>
      </c>
      <c r="B136" s="10"/>
      <c r="C136" s="10" t="s">
        <v>209</v>
      </c>
      <c r="D136" s="8">
        <v>0.2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22" customHeight="1">
      <c r="A137" s="10" t="s">
        <v>25</v>
      </c>
      <c r="B137" s="10"/>
      <c r="C137" s="10" t="s">
        <v>210</v>
      </c>
      <c r="D137" s="8">
        <v>0.2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22" customHeight="1">
      <c r="A138" s="10" t="s">
        <v>25</v>
      </c>
      <c r="B138" s="10"/>
      <c r="C138" s="10" t="s">
        <v>211</v>
      </c>
      <c r="D138" s="8">
        <v>0.5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22" customHeight="1">
      <c r="A139" s="10" t="s">
        <v>25</v>
      </c>
      <c r="B139" s="10"/>
      <c r="C139" s="10" t="s">
        <v>29</v>
      </c>
      <c r="D139" s="8">
        <v>0.75</v>
      </c>
      <c r="E139" s="14" t="s">
        <v>216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 spans="1:17" ht="22" customHeight="1">
      <c r="A140" s="10" t="s">
        <v>25</v>
      </c>
      <c r="B140" s="10"/>
      <c r="C140" s="10" t="s">
        <v>212</v>
      </c>
      <c r="D140" s="8">
        <v>1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22" customHeight="1">
      <c r="A141" s="10" t="s">
        <v>25</v>
      </c>
      <c r="B141" s="10"/>
      <c r="C141" s="10" t="s">
        <v>213</v>
      </c>
      <c r="D141" s="8">
        <v>1.5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22" customHeight="1">
      <c r="A142" s="10" t="s">
        <v>25</v>
      </c>
      <c r="B142" s="10"/>
      <c r="C142" s="10" t="s">
        <v>214</v>
      </c>
      <c r="D142" s="8">
        <v>1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6" spans="1:17" ht="24" customHeight="1">
      <c r="A146" s="15" t="s">
        <v>217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spans="1:17" ht="35" customHeight="1">
      <c r="A147" s="16" t="s">
        <v>218</v>
      </c>
      <c r="B147" s="16" t="s">
        <v>219</v>
      </c>
      <c r="C147" s="16"/>
      <c r="D147" s="16" t="s">
        <v>220</v>
      </c>
      <c r="E147" s="16"/>
      <c r="F147" s="16" t="s">
        <v>221</v>
      </c>
      <c r="G147" s="16" t="s">
        <v>222</v>
      </c>
      <c r="H147" s="16" t="s">
        <v>223</v>
      </c>
      <c r="I147" s="16"/>
      <c r="J147" s="16" t="s">
        <v>224</v>
      </c>
      <c r="K147" s="16"/>
      <c r="L147" s="16" t="s">
        <v>225</v>
      </c>
      <c r="M147" s="16"/>
      <c r="N147" s="16" t="s">
        <v>226</v>
      </c>
      <c r="O147" s="16"/>
      <c r="P147" s="16" t="s">
        <v>227</v>
      </c>
      <c r="Q147" s="16"/>
    </row>
    <row r="148" spans="1:17" ht="22" customHeight="1">
      <c r="A148" s="3" t="s">
        <v>228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53" spans="1:17" ht="24" customHeight="1">
      <c r="A153" s="15" t="s">
        <v>229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spans="1:17" ht="35" customHeight="1">
      <c r="A154" s="16" t="s">
        <v>230</v>
      </c>
      <c r="B154" s="16"/>
      <c r="C154" s="16" t="s">
        <v>231</v>
      </c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 ht="22" customHeight="1">
      <c r="A155" s="4">
        <v>45292</v>
      </c>
      <c r="B155" s="17"/>
      <c r="C155" s="3" t="s">
        <v>232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22" customHeight="1">
      <c r="A156" s="4">
        <v>45380</v>
      </c>
      <c r="B156" s="17"/>
    </row>
    <row r="157" spans="1:17" ht="22" customHeight="1">
      <c r="A157" s="4">
        <v>45383</v>
      </c>
      <c r="B157" s="17"/>
    </row>
    <row r="158" spans="1:17" ht="22" customHeight="1">
      <c r="A158" s="4">
        <v>45413</v>
      </c>
      <c r="B158" s="17"/>
    </row>
    <row r="159" spans="1:17" ht="22" customHeight="1">
      <c r="A159" s="4">
        <v>45651</v>
      </c>
      <c r="B159" s="17"/>
    </row>
    <row r="160" spans="1:17" ht="22" customHeight="1">
      <c r="A160" s="4">
        <v>45652</v>
      </c>
      <c r="B160" s="17"/>
    </row>
    <row r="161" spans="1:17" ht="22" customHeight="1">
      <c r="A161" s="4">
        <v>45658</v>
      </c>
      <c r="B161" s="17"/>
    </row>
    <row r="162" spans="1:17" ht="22" customHeight="1">
      <c r="A162" s="4">
        <v>45765</v>
      </c>
      <c r="B162" s="17"/>
    </row>
    <row r="163" spans="1:17" ht="22" customHeight="1">
      <c r="A163" s="4">
        <v>45768</v>
      </c>
      <c r="B163" s="17"/>
    </row>
    <row r="164" spans="1:17" ht="22" customHeight="1">
      <c r="A164" s="4">
        <v>45778</v>
      </c>
      <c r="B164" s="17"/>
    </row>
    <row r="165" spans="1:17" ht="22" customHeight="1">
      <c r="A165" s="4">
        <v>46016</v>
      </c>
      <c r="B165" s="17"/>
    </row>
    <row r="166" spans="1:17" ht="22" customHeight="1">
      <c r="A166" s="4">
        <v>46017</v>
      </c>
      <c r="B166" s="17"/>
    </row>
    <row r="167" spans="1:17" ht="22" customHeight="1">
      <c r="A167" s="4">
        <v>46023</v>
      </c>
      <c r="B167" s="17"/>
    </row>
    <row r="168" spans="1:17" ht="22" customHeight="1">
      <c r="A168" s="4">
        <v>46115</v>
      </c>
      <c r="B168" s="17"/>
    </row>
    <row r="169" spans="1:17" ht="22" customHeight="1">
      <c r="A169" s="4">
        <v>46118</v>
      </c>
      <c r="B169" s="17"/>
    </row>
    <row r="170" spans="1:17" ht="22" customHeight="1">
      <c r="A170" s="4">
        <v>46143</v>
      </c>
      <c r="B170" s="17"/>
    </row>
    <row r="171" spans="1:17" ht="22" customHeight="1">
      <c r="A171" s="4">
        <v>46381</v>
      </c>
      <c r="B171" s="17"/>
    </row>
    <row r="175" spans="1:17" ht="24" customHeight="1">
      <c r="A175" s="15" t="s">
        <v>233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spans="1:17" ht="30" customHeight="1">
      <c r="A176" s="14" t="s">
        <v>234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7" ht="30" customHeight="1">
      <c r="A177" s="14" t="s">
        <v>235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7" ht="30" customHeight="1">
      <c r="A178" s="14" t="s">
        <v>236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7" ht="30" customHeight="1">
      <c r="A179" s="14" t="s">
        <v>237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7" ht="30" customHeight="1">
      <c r="A180" s="14" t="s">
        <v>238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7" ht="30" customHeight="1">
      <c r="A181" s="14" t="s">
        <v>239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 spans="1:17" ht="30" customHeight="1">
      <c r="A182" s="14" t="s">
        <v>240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 spans="1:17" ht="30" customHeight="1">
      <c r="A183" s="14" t="s">
        <v>241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 spans="1:17" ht="30" customHeight="1">
      <c r="A184" s="14" t="s">
        <v>242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 spans="1:17" ht="30" customHeight="1">
      <c r="A185" s="14" t="s">
        <v>243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 spans="1:17" ht="30" customHeight="1">
      <c r="A186" s="14" t="s">
        <v>244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8" spans="1:17" ht="22" customHeight="1">
      <c r="A188" s="3" t="s">
        <v>245</v>
      </c>
      <c r="B188" s="3"/>
      <c r="C188" s="3"/>
      <c r="D188" s="3"/>
      <c r="E188" s="20" t="s">
        <v>246</v>
      </c>
    </row>
    <row r="189" spans="1:17" ht="22" customHeight="1">
      <c r="A189" s="3" t="s">
        <v>247</v>
      </c>
      <c r="B189" s="3"/>
      <c r="C189" s="3"/>
      <c r="D189" s="3"/>
      <c r="E189" s="20" t="s">
        <v>248</v>
      </c>
    </row>
    <row r="190" spans="1:17" ht="22" customHeight="1">
      <c r="A190" s="3" t="s">
        <v>249</v>
      </c>
      <c r="B190" s="3"/>
      <c r="C190" s="3"/>
      <c r="D190" s="3"/>
      <c r="E190" s="20" t="s">
        <v>250</v>
      </c>
    </row>
    <row r="192" spans="1:17" ht="35" customHeight="1">
      <c r="A192" s="16" t="s">
        <v>251</v>
      </c>
      <c r="B192" s="16"/>
      <c r="C192" s="16"/>
      <c r="D192" s="16"/>
      <c r="E192" s="16" t="s">
        <v>252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 ht="22" customHeight="1">
      <c r="A193" s="3" t="s">
        <v>253</v>
      </c>
      <c r="B193" s="3"/>
      <c r="C193" s="3"/>
      <c r="D193" s="3"/>
      <c r="E193" s="17" t="s">
        <v>254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ht="22" customHeight="1">
      <c r="A194" s="3" t="s">
        <v>255</v>
      </c>
      <c r="B194" s="3"/>
      <c r="C194" s="3"/>
      <c r="D194" s="3"/>
      <c r="E194" s="17" t="s">
        <v>256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ht="22" customHeight="1">
      <c r="A195" s="3" t="s">
        <v>257</v>
      </c>
      <c r="B195" s="3"/>
      <c r="C195" s="3"/>
      <c r="D195" s="3"/>
      <c r="E195" s="17" t="s">
        <v>258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 spans="1:17" ht="22" customHeight="1">
      <c r="A196" s="3" t="s">
        <v>259</v>
      </c>
      <c r="B196" s="3"/>
      <c r="C196" s="3"/>
      <c r="D196" s="3"/>
      <c r="E196" s="17" t="s">
        <v>260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 spans="1:17" ht="22" customHeight="1">
      <c r="A197" s="3" t="s">
        <v>261</v>
      </c>
      <c r="B197" s="3"/>
      <c r="C197" s="3"/>
      <c r="D197" s="3"/>
      <c r="E197" s="17" t="s">
        <v>262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 spans="1:17" ht="22" customHeight="1">
      <c r="A198" s="3" t="s">
        <v>263</v>
      </c>
      <c r="B198" s="3"/>
      <c r="C198" s="3"/>
      <c r="D198" s="3"/>
      <c r="E198" s="17" t="s">
        <v>264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 spans="1:17" ht="22" customHeight="1">
      <c r="A199" s="3" t="s">
        <v>265</v>
      </c>
      <c r="B199" s="3"/>
      <c r="C199" s="3"/>
      <c r="D199" s="3"/>
      <c r="E199" s="17" t="s">
        <v>266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22" customHeight="1">
      <c r="A200" s="3" t="s">
        <v>267</v>
      </c>
      <c r="B200" s="3"/>
      <c r="C200" s="3"/>
      <c r="D200" s="3"/>
      <c r="E200" s="17" t="s">
        <v>268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 spans="1:17" ht="22" customHeight="1">
      <c r="A201" s="3" t="s">
        <v>269</v>
      </c>
      <c r="B201" s="3"/>
      <c r="C201" s="3"/>
      <c r="D201" s="3"/>
      <c r="E201" s="17" t="s">
        <v>270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</sheetData>
  <autoFilter ref="A25:Q33"/>
  <mergeCells count="347">
    <mergeCell ref="A1:Q1"/>
    <mergeCell ref="A2:Q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I17:K17"/>
    <mergeCell ref="L4:N4"/>
    <mergeCell ref="O4:Q4"/>
    <mergeCell ref="L5:N5"/>
    <mergeCell ref="O5:Q5"/>
    <mergeCell ref="L6:N6"/>
    <mergeCell ref="O6:Q6"/>
    <mergeCell ref="L7:N7"/>
    <mergeCell ref="O7:Q7"/>
    <mergeCell ref="L8:N8"/>
    <mergeCell ref="O8:Q8"/>
    <mergeCell ref="L9:N9"/>
    <mergeCell ref="O9:Q9"/>
    <mergeCell ref="L10:N10"/>
    <mergeCell ref="O10:Q10"/>
    <mergeCell ref="L11:N11"/>
    <mergeCell ref="O11:Q11"/>
    <mergeCell ref="L12:N12"/>
    <mergeCell ref="O12:Q12"/>
    <mergeCell ref="L13:N13"/>
    <mergeCell ref="O13:Q13"/>
    <mergeCell ref="L14:N14"/>
    <mergeCell ref="O14:Q14"/>
    <mergeCell ref="L15:N15"/>
    <mergeCell ref="O15:Q15"/>
    <mergeCell ref="L16:N16"/>
    <mergeCell ref="O16:Q16"/>
    <mergeCell ref="L17:N17"/>
    <mergeCell ref="O17:Q17"/>
    <mergeCell ref="A20:Q20"/>
    <mergeCell ref="A21:Q21"/>
    <mergeCell ref="A22:Q22"/>
    <mergeCell ref="A24:Q24"/>
    <mergeCell ref="A36:Q36"/>
    <mergeCell ref="B38:C38"/>
    <mergeCell ref="D38:E38"/>
    <mergeCell ref="F38:G38"/>
    <mergeCell ref="H38:J38"/>
    <mergeCell ref="M38:Q38"/>
    <mergeCell ref="B39:C39"/>
    <mergeCell ref="D39:E39"/>
    <mergeCell ref="F39:G39"/>
    <mergeCell ref="H39:J39"/>
    <mergeCell ref="M39:Q39"/>
    <mergeCell ref="A42:C42"/>
    <mergeCell ref="D42:G42"/>
    <mergeCell ref="J42:Q42"/>
    <mergeCell ref="A43:C43"/>
    <mergeCell ref="D43:G43"/>
    <mergeCell ref="J43:Q43"/>
    <mergeCell ref="A44:C44"/>
    <mergeCell ref="D44:G44"/>
    <mergeCell ref="J44:Q44"/>
    <mergeCell ref="B47:C47"/>
    <mergeCell ref="D47:E47"/>
    <mergeCell ref="F47:G47"/>
    <mergeCell ref="J47:K47"/>
    <mergeCell ref="L47:M47"/>
    <mergeCell ref="N47:O47"/>
    <mergeCell ref="P47:Q47"/>
    <mergeCell ref="B48:C48"/>
    <mergeCell ref="D48:E48"/>
    <mergeCell ref="F48:G48"/>
    <mergeCell ref="J48:K48"/>
    <mergeCell ref="L48:M48"/>
    <mergeCell ref="N48:O48"/>
    <mergeCell ref="P48:Q48"/>
    <mergeCell ref="B49:C49"/>
    <mergeCell ref="D49:E49"/>
    <mergeCell ref="F49:G49"/>
    <mergeCell ref="J49:K49"/>
    <mergeCell ref="L49:M49"/>
    <mergeCell ref="N49:O49"/>
    <mergeCell ref="P49:Q49"/>
    <mergeCell ref="B50:C50"/>
    <mergeCell ref="D50:E50"/>
    <mergeCell ref="F50:G50"/>
    <mergeCell ref="J50:K50"/>
    <mergeCell ref="L50:M50"/>
    <mergeCell ref="N50:O50"/>
    <mergeCell ref="P50:Q50"/>
    <mergeCell ref="B53:C53"/>
    <mergeCell ref="D53:I53"/>
    <mergeCell ref="J53:M53"/>
    <mergeCell ref="N53:Q53"/>
    <mergeCell ref="B54:C54"/>
    <mergeCell ref="D54:I54"/>
    <mergeCell ref="J54:M54"/>
    <mergeCell ref="N54:Q54"/>
    <mergeCell ref="B55:C55"/>
    <mergeCell ref="D55:I55"/>
    <mergeCell ref="J55:M55"/>
    <mergeCell ref="N55:Q55"/>
    <mergeCell ref="B56:C56"/>
    <mergeCell ref="D56:I56"/>
    <mergeCell ref="J56:M56"/>
    <mergeCell ref="N56:Q56"/>
    <mergeCell ref="A59:Q59"/>
    <mergeCell ref="A60:D60"/>
    <mergeCell ref="E60:G60"/>
    <mergeCell ref="H60:Q60"/>
    <mergeCell ref="A61:D61"/>
    <mergeCell ref="E61:G61"/>
    <mergeCell ref="H61:Q61"/>
    <mergeCell ref="A62:D62"/>
    <mergeCell ref="E62:G62"/>
    <mergeCell ref="H62:Q62"/>
    <mergeCell ref="A63:D63"/>
    <mergeCell ref="E63:G63"/>
    <mergeCell ref="H63:Q63"/>
    <mergeCell ref="A64:D64"/>
    <mergeCell ref="E64:G64"/>
    <mergeCell ref="H64:Q64"/>
    <mergeCell ref="A65:D65"/>
    <mergeCell ref="E65:G65"/>
    <mergeCell ref="H65:Q65"/>
    <mergeCell ref="A66:D66"/>
    <mergeCell ref="E66:G66"/>
    <mergeCell ref="H66:Q66"/>
    <mergeCell ref="A67:D67"/>
    <mergeCell ref="E67:G67"/>
    <mergeCell ref="H67:Q67"/>
    <mergeCell ref="A68:D68"/>
    <mergeCell ref="E68:G68"/>
    <mergeCell ref="H68:Q68"/>
    <mergeCell ref="A69:D69"/>
    <mergeCell ref="E69:G69"/>
    <mergeCell ref="H69:Q69"/>
    <mergeCell ref="A70:D70"/>
    <mergeCell ref="E70:G70"/>
    <mergeCell ref="H70:Q70"/>
    <mergeCell ref="A71:D71"/>
    <mergeCell ref="E71:G71"/>
    <mergeCell ref="H71:Q71"/>
    <mergeCell ref="A72:D72"/>
    <mergeCell ref="E72:G72"/>
    <mergeCell ref="H72:Q72"/>
    <mergeCell ref="A73:D73"/>
    <mergeCell ref="E73:G73"/>
    <mergeCell ref="H73:Q73"/>
    <mergeCell ref="A74:D74"/>
    <mergeCell ref="E74:G74"/>
    <mergeCell ref="H74:Q74"/>
    <mergeCell ref="A75:D75"/>
    <mergeCell ref="E75:G75"/>
    <mergeCell ref="H75:Q75"/>
    <mergeCell ref="A76:D76"/>
    <mergeCell ref="E76:G76"/>
    <mergeCell ref="H76:Q76"/>
    <mergeCell ref="A77:D77"/>
    <mergeCell ref="E77:G77"/>
    <mergeCell ref="H77:Q77"/>
    <mergeCell ref="A78:D78"/>
    <mergeCell ref="E78:G78"/>
    <mergeCell ref="H78:Q78"/>
    <mergeCell ref="A79:D79"/>
    <mergeCell ref="E79:G79"/>
    <mergeCell ref="H79:Q79"/>
    <mergeCell ref="A80:D80"/>
    <mergeCell ref="E80:G80"/>
    <mergeCell ref="H80:Q80"/>
    <mergeCell ref="A81:D81"/>
    <mergeCell ref="E81:G81"/>
    <mergeCell ref="H81:Q81"/>
    <mergeCell ref="A82:D82"/>
    <mergeCell ref="E82:G82"/>
    <mergeCell ref="H82:Q82"/>
    <mergeCell ref="A83:D83"/>
    <mergeCell ref="E83:G83"/>
    <mergeCell ref="H83:Q83"/>
    <mergeCell ref="A84:D84"/>
    <mergeCell ref="E84:G84"/>
    <mergeCell ref="H84:Q84"/>
    <mergeCell ref="A85:D85"/>
    <mergeCell ref="E85:G85"/>
    <mergeCell ref="H85:Q85"/>
    <mergeCell ref="A89:Q89"/>
    <mergeCell ref="A102:Q102"/>
    <mergeCell ref="B103:D103"/>
    <mergeCell ref="H103:Q103"/>
    <mergeCell ref="B104:D104"/>
    <mergeCell ref="H104:Q104"/>
    <mergeCell ref="B105:D105"/>
    <mergeCell ref="H105:Q105"/>
    <mergeCell ref="B106:D106"/>
    <mergeCell ref="H106:Q106"/>
    <mergeCell ref="B107:D107"/>
    <mergeCell ref="H107:Q107"/>
    <mergeCell ref="B108:D108"/>
    <mergeCell ref="H108:Q108"/>
    <mergeCell ref="B109:D109"/>
    <mergeCell ref="H109:Q109"/>
    <mergeCell ref="B110:D110"/>
    <mergeCell ref="H110:Q110"/>
    <mergeCell ref="B111:D111"/>
    <mergeCell ref="H111:Q111"/>
    <mergeCell ref="B112:D112"/>
    <mergeCell ref="H112:Q112"/>
    <mergeCell ref="B113:D113"/>
    <mergeCell ref="H113:Q113"/>
    <mergeCell ref="B114:D114"/>
    <mergeCell ref="H114:Q114"/>
    <mergeCell ref="B115:D115"/>
    <mergeCell ref="H115:Q115"/>
    <mergeCell ref="B116:D116"/>
    <mergeCell ref="H116:Q116"/>
    <mergeCell ref="A120:Q120"/>
    <mergeCell ref="A121:B121"/>
    <mergeCell ref="E121:Q121"/>
    <mergeCell ref="A122:B122"/>
    <mergeCell ref="E122:Q122"/>
    <mergeCell ref="A123:B123"/>
    <mergeCell ref="E123:Q123"/>
    <mergeCell ref="A124:B124"/>
    <mergeCell ref="E124:Q124"/>
    <mergeCell ref="A125:B125"/>
    <mergeCell ref="E125:Q125"/>
    <mergeCell ref="A126:B126"/>
    <mergeCell ref="E126:Q126"/>
    <mergeCell ref="A127:B127"/>
    <mergeCell ref="E127:Q127"/>
    <mergeCell ref="A128:B128"/>
    <mergeCell ref="E128:Q128"/>
    <mergeCell ref="A129:B129"/>
    <mergeCell ref="E129:Q129"/>
    <mergeCell ref="A130:B130"/>
    <mergeCell ref="E130:Q130"/>
    <mergeCell ref="A131:B131"/>
    <mergeCell ref="E131:Q131"/>
    <mergeCell ref="A132:B132"/>
    <mergeCell ref="E132:Q132"/>
    <mergeCell ref="A133:B133"/>
    <mergeCell ref="E133:Q133"/>
    <mergeCell ref="A134:B134"/>
    <mergeCell ref="E134:Q134"/>
    <mergeCell ref="A135:B135"/>
    <mergeCell ref="E135:Q135"/>
    <mergeCell ref="A136:B136"/>
    <mergeCell ref="E136:Q136"/>
    <mergeCell ref="A137:B137"/>
    <mergeCell ref="E137:Q137"/>
    <mergeCell ref="A138:B138"/>
    <mergeCell ref="E138:Q138"/>
    <mergeCell ref="A139:B139"/>
    <mergeCell ref="E139:Q139"/>
    <mergeCell ref="A140:B140"/>
    <mergeCell ref="E140:Q140"/>
    <mergeCell ref="A141:B141"/>
    <mergeCell ref="E141:Q141"/>
    <mergeCell ref="A142:B142"/>
    <mergeCell ref="E142:Q142"/>
    <mergeCell ref="A146:Q146"/>
    <mergeCell ref="B147:C147"/>
    <mergeCell ref="D147:E147"/>
    <mergeCell ref="H147:I147"/>
    <mergeCell ref="J147:K147"/>
    <mergeCell ref="L147:M147"/>
    <mergeCell ref="N147:O147"/>
    <mergeCell ref="P147:Q147"/>
    <mergeCell ref="A148:Q148"/>
    <mergeCell ref="A153:Q153"/>
    <mergeCell ref="A154:B154"/>
    <mergeCell ref="C154:Q154"/>
    <mergeCell ref="A155:B155"/>
    <mergeCell ref="C155:Q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5:Q175"/>
    <mergeCell ref="A176:Q176"/>
    <mergeCell ref="A177:Q177"/>
    <mergeCell ref="A178:Q178"/>
    <mergeCell ref="A179:Q179"/>
    <mergeCell ref="A180:Q180"/>
    <mergeCell ref="A181:Q181"/>
    <mergeCell ref="A182:Q182"/>
    <mergeCell ref="A183:Q183"/>
    <mergeCell ref="A184:Q184"/>
    <mergeCell ref="A185:Q185"/>
    <mergeCell ref="A186:Q186"/>
    <mergeCell ref="A188:D188"/>
    <mergeCell ref="A189:D189"/>
    <mergeCell ref="A190:D190"/>
    <mergeCell ref="A192:D192"/>
    <mergeCell ref="E192:Q192"/>
    <mergeCell ref="A193:D193"/>
    <mergeCell ref="E193:Q193"/>
    <mergeCell ref="A194:D194"/>
    <mergeCell ref="E194:Q194"/>
    <mergeCell ref="A195:D195"/>
    <mergeCell ref="E195:Q195"/>
    <mergeCell ref="A196:D196"/>
    <mergeCell ref="E196:Q196"/>
    <mergeCell ref="A197:D197"/>
    <mergeCell ref="E197:Q197"/>
    <mergeCell ref="A198:D198"/>
    <mergeCell ref="E198:Q198"/>
    <mergeCell ref="A199:D199"/>
    <mergeCell ref="E199:Q199"/>
    <mergeCell ref="A200:D200"/>
    <mergeCell ref="E200:Q200"/>
    <mergeCell ref="A201:D201"/>
    <mergeCell ref="E201:Q201"/>
  </mergeCells>
  <hyperlinks>
    <hyperlink ref="E188" r:id="rId1"/>
    <hyperlink ref="E189" r:id="rId2"/>
    <hyperlink ref="E190" r:id="rId3"/>
  </hyperlinks>
  <pageMargins left="0.25" right="0.25" top="0.35" bottom="0.35" header="0.3" footer="0.3"/>
  <pageSetup paperSize="8" fitToHeight="0" orientation="landscape"/>
  <headerFooter>
    <oddHeader>&amp;LCP_A | EU SA-CCR / CRR3&amp;RCOB 2025-04-29</oddHeader>
    <oddFooter>&amp;LUSD amounts; full-precision formulas&amp;C&amp;P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22"/>
  <sheetViews>
    <sheetView showGridLines="0" zoomScale="75" zoomScaleNormal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22" customHeight="1"/>
  <cols>
    <col min="1" max="1" width="25.7109375" customWidth="1"/>
    <col min="2" max="2" width="8.7109375" customWidth="1"/>
    <col min="3" max="3" width="16.7109375" customWidth="1"/>
    <col min="4" max="4" width="20.7109375" customWidth="1"/>
    <col min="5" max="5" width="14.7109375" customWidth="1"/>
    <col min="6" max="6" width="13.7109375" customWidth="1"/>
    <col min="7" max="7" width="22.7109375" customWidth="1"/>
    <col min="8" max="10" width="13.7109375" customWidth="1"/>
    <col min="11" max="11" width="10.7109375" customWidth="1"/>
    <col min="12" max="13" width="11.7109375" customWidth="1"/>
    <col min="14" max="14" width="20.7109375" customWidth="1"/>
    <col min="15" max="15" width="36.7109375" customWidth="1"/>
    <col min="16" max="16" width="15.7109375" customWidth="1"/>
    <col min="17" max="17" width="22.7109375" customWidth="1"/>
  </cols>
  <sheetData>
    <row r="1" spans="1:17" ht="34" customHeight="1">
      <c r="A1" s="1" t="s">
        <v>271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272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22" customHeight="1">
      <c r="A4" s="3" t="s">
        <v>2</v>
      </c>
      <c r="B4" s="3"/>
      <c r="C4" s="3"/>
      <c r="D4" s="4">
        <v>45776</v>
      </c>
      <c r="F4" s="3" t="s">
        <v>17</v>
      </c>
      <c r="G4" s="3"/>
      <c r="H4" s="3"/>
      <c r="I4" s="5">
        <v>1.0735</v>
      </c>
      <c r="L4" s="3" t="s">
        <v>35</v>
      </c>
      <c r="M4" s="3"/>
      <c r="N4" s="3"/>
      <c r="O4" s="6">
        <v>2295000</v>
      </c>
      <c r="P4" s="6"/>
      <c r="Q4" s="6"/>
    </row>
    <row r="5" spans="1:17" ht="22" customHeight="1">
      <c r="A5" s="3" t="s">
        <v>3</v>
      </c>
      <c r="B5" s="3"/>
      <c r="C5" s="3"/>
      <c r="D5" s="5">
        <v>1.4</v>
      </c>
      <c r="F5" s="3" t="s">
        <v>18</v>
      </c>
      <c r="G5" s="3"/>
      <c r="H5" s="3"/>
      <c r="I5" s="5">
        <v>1.248</v>
      </c>
      <c r="L5" s="3" t="s">
        <v>36</v>
      </c>
      <c r="M5" s="3"/>
      <c r="N5" s="3"/>
      <c r="O5" s="6">
        <v>0</v>
      </c>
      <c r="P5" s="6"/>
      <c r="Q5" s="6"/>
    </row>
    <row r="6" spans="1:17" ht="22" customHeight="1">
      <c r="A6" s="3" t="s">
        <v>4</v>
      </c>
      <c r="B6" s="3"/>
      <c r="C6" s="3"/>
      <c r="D6" s="7">
        <f>0.3</f>
        <v>0.3</v>
      </c>
      <c r="F6" s="3" t="s">
        <v>19</v>
      </c>
      <c r="G6" s="3"/>
      <c r="H6" s="3"/>
      <c r="I6" s="5">
        <v>154.2</v>
      </c>
      <c r="L6" s="3" t="s">
        <v>37</v>
      </c>
      <c r="M6" s="3"/>
      <c r="N6" s="3"/>
      <c r="O6" s="6">
        <v>0</v>
      </c>
      <c r="P6" s="6"/>
      <c r="Q6" s="6"/>
    </row>
    <row r="7" spans="1:17" ht="22" customHeight="1">
      <c r="A7" s="3" t="s">
        <v>5</v>
      </c>
      <c r="B7" s="3"/>
      <c r="C7" s="3"/>
      <c r="D7" s="8">
        <v>0.08</v>
      </c>
      <c r="F7" s="3" t="s">
        <v>20</v>
      </c>
      <c r="G7" s="3"/>
      <c r="H7" s="3"/>
      <c r="I7" s="5">
        <v>1</v>
      </c>
      <c r="L7" s="3" t="s">
        <v>38</v>
      </c>
      <c r="M7" s="3"/>
      <c r="N7" s="3"/>
      <c r="O7" s="6">
        <v>250000</v>
      </c>
      <c r="P7" s="6"/>
      <c r="Q7" s="6"/>
    </row>
    <row r="8" spans="1:17" ht="22" customHeight="1">
      <c r="A8" s="3" t="s">
        <v>6</v>
      </c>
      <c r="B8" s="3"/>
      <c r="C8" s="3"/>
      <c r="D8" s="9">
        <v>365</v>
      </c>
      <c r="F8" s="3" t="s">
        <v>21</v>
      </c>
      <c r="G8" s="3"/>
      <c r="H8" s="3"/>
      <c r="I8" s="9">
        <v>1</v>
      </c>
      <c r="L8" s="3" t="s">
        <v>39</v>
      </c>
      <c r="M8" s="3"/>
      <c r="N8" s="3"/>
      <c r="O8" s="6">
        <v>5000000</v>
      </c>
      <c r="P8" s="6"/>
      <c r="Q8" s="6"/>
    </row>
    <row r="9" spans="1:17" ht="22" customHeight="1">
      <c r="A9" s="3" t="s">
        <v>7</v>
      </c>
      <c r="B9" s="3"/>
      <c r="C9" s="3"/>
      <c r="D9" s="9">
        <v>250</v>
      </c>
      <c r="F9" s="3" t="s">
        <v>22</v>
      </c>
      <c r="G9" s="3"/>
      <c r="H9" s="3"/>
      <c r="I9" s="4">
        <v>45702</v>
      </c>
      <c r="L9" s="3" t="s">
        <v>40</v>
      </c>
      <c r="M9" s="3"/>
      <c r="N9" s="3"/>
      <c r="O9" s="6">
        <v>5000000</v>
      </c>
      <c r="P9" s="6"/>
      <c r="Q9" s="6"/>
    </row>
    <row r="10" spans="1:17" ht="22" customHeight="1">
      <c r="A10" s="3" t="s">
        <v>8</v>
      </c>
      <c r="B10" s="3"/>
      <c r="C10" s="3"/>
      <c r="D10" s="9">
        <v>10</v>
      </c>
      <c r="F10" s="3" t="s">
        <v>24</v>
      </c>
      <c r="G10" s="3"/>
      <c r="H10" s="3"/>
      <c r="I10" s="10" t="s">
        <v>215</v>
      </c>
      <c r="L10" s="3" t="s">
        <v>41</v>
      </c>
      <c r="M10" s="3"/>
      <c r="N10" s="3"/>
      <c r="O10" s="9">
        <v>0</v>
      </c>
      <c r="P10" s="9"/>
      <c r="Q10" s="9"/>
    </row>
    <row r="11" spans="1:17" ht="22" customHeight="1">
      <c r="A11" s="3" t="s">
        <v>9</v>
      </c>
      <c r="B11" s="3"/>
      <c r="C11" s="3"/>
      <c r="D11" s="11">
        <f>3</f>
        <v>3</v>
      </c>
      <c r="F11" s="3" t="s">
        <v>26</v>
      </c>
      <c r="G11" s="3"/>
      <c r="H11" s="3"/>
      <c r="I11" s="10" t="s">
        <v>273</v>
      </c>
      <c r="L11" s="3" t="s">
        <v>42</v>
      </c>
      <c r="M11" s="3"/>
      <c r="N11" s="3"/>
      <c r="O11" s="12">
        <f>5367499.999999999</f>
        <v>5367499.999999999</v>
      </c>
      <c r="P11" s="12"/>
      <c r="Q11" s="12"/>
    </row>
    <row r="12" spans="1:17" ht="22" customHeight="1">
      <c r="A12" s="3" t="s">
        <v>10</v>
      </c>
      <c r="B12" s="3"/>
      <c r="C12" s="3"/>
      <c r="D12" s="11">
        <f>20</f>
        <v>20</v>
      </c>
      <c r="F12" s="3" t="s">
        <v>28</v>
      </c>
      <c r="G12" s="3"/>
      <c r="H12" s="3"/>
      <c r="I12" s="10" t="s">
        <v>211</v>
      </c>
      <c r="L12" s="3" t="s">
        <v>43</v>
      </c>
      <c r="M12" s="3"/>
      <c r="N12" s="3"/>
      <c r="O12" s="12">
        <f>5367499.999999999</f>
        <v>5367499.999999999</v>
      </c>
      <c r="P12" s="12"/>
      <c r="Q12" s="12"/>
    </row>
    <row r="13" spans="1:17" ht="22" customHeight="1">
      <c r="A13" s="3" t="s">
        <v>11</v>
      </c>
      <c r="B13" s="3"/>
      <c r="C13" s="3"/>
      <c r="D13" s="13">
        <f>0.4242640687119285</f>
        <v>0.4242640687119285</v>
      </c>
      <c r="F13" s="3" t="s">
        <v>30</v>
      </c>
      <c r="G13" s="3"/>
      <c r="H13" s="3"/>
      <c r="I13" s="5">
        <v>1</v>
      </c>
      <c r="L13" s="3" t="s">
        <v>44</v>
      </c>
      <c r="M13" s="3"/>
      <c r="N13" s="3"/>
      <c r="O13" s="12">
        <f>0.0</f>
        <v>0.0</v>
      </c>
      <c r="P13" s="12"/>
      <c r="Q13" s="12"/>
    </row>
    <row r="14" spans="1:17" ht="22" customHeight="1">
      <c r="A14" s="3" t="s">
        <v>12</v>
      </c>
      <c r="B14" s="3"/>
      <c r="C14" s="3"/>
      <c r="D14" s="8">
        <v>0.05</v>
      </c>
      <c r="F14" s="3" t="s">
        <v>31</v>
      </c>
      <c r="G14" s="3"/>
      <c r="H14" s="3"/>
      <c r="I14" s="4">
        <v>45566</v>
      </c>
      <c r="L14" s="3" t="s">
        <v>45</v>
      </c>
      <c r="M14" s="3"/>
      <c r="N14" s="3"/>
      <c r="O14" s="12">
        <f>0.0</f>
        <v>0.0</v>
      </c>
      <c r="P14" s="12"/>
      <c r="Q14" s="12"/>
    </row>
    <row r="15" spans="1:17" ht="22" customHeight="1">
      <c r="A15" s="3" t="s">
        <v>13</v>
      </c>
      <c r="B15" s="3"/>
      <c r="C15" s="3"/>
      <c r="D15" s="8">
        <v>0.05</v>
      </c>
      <c r="F15" s="3" t="s">
        <v>32</v>
      </c>
      <c r="G15" s="3"/>
      <c r="H15" s="3"/>
      <c r="I15" s="4">
        <v>45747</v>
      </c>
      <c r="L15" s="3" t="s">
        <v>46</v>
      </c>
      <c r="M15" s="3"/>
      <c r="N15" s="3"/>
      <c r="O15" s="12">
        <f>268375.0</f>
        <v>268375.0</v>
      </c>
      <c r="P15" s="12"/>
      <c r="Q15" s="12"/>
    </row>
    <row r="16" spans="1:17" ht="22" customHeight="1">
      <c r="A16" s="3" t="s">
        <v>14</v>
      </c>
      <c r="B16" s="3"/>
      <c r="C16" s="3"/>
      <c r="D16" s="9">
        <v>1</v>
      </c>
      <c r="F16" s="3" t="s">
        <v>33</v>
      </c>
      <c r="G16" s="3"/>
      <c r="H16" s="3"/>
      <c r="I16" s="9">
        <v>5</v>
      </c>
      <c r="L16" s="3" t="s">
        <v>47</v>
      </c>
      <c r="M16" s="3"/>
      <c r="N16" s="3"/>
      <c r="O16" s="12">
        <f>2295000.0</f>
        <v>2295000.0</v>
      </c>
      <c r="P16" s="12"/>
      <c r="Q16" s="12"/>
    </row>
    <row r="17" spans="1:17" ht="22" customHeight="1">
      <c r="A17" s="3" t="s">
        <v>15</v>
      </c>
      <c r="B17" s="3"/>
      <c r="C17" s="3"/>
      <c r="D17" s="13">
        <f>0.04</f>
        <v>0.04</v>
      </c>
      <c r="F17" s="3" t="s">
        <v>34</v>
      </c>
      <c r="G17" s="3"/>
      <c r="H17" s="3"/>
      <c r="I17" s="12">
        <f>2295000.0</f>
        <v>2295000.0</v>
      </c>
      <c r="J17" s="12"/>
      <c r="K17" s="12"/>
      <c r="L17" s="3" t="s">
        <v>48</v>
      </c>
      <c r="M17" s="3"/>
      <c r="N17" s="3"/>
      <c r="O17" s="12">
        <f>0.0</f>
        <v>0.0</v>
      </c>
      <c r="P17" s="12"/>
      <c r="Q17" s="12"/>
    </row>
    <row r="18" spans="1:17" ht="22" customHeight="1">
      <c r="A18" s="3" t="s">
        <v>16</v>
      </c>
      <c r="B18" s="3"/>
      <c r="C18" s="3"/>
      <c r="D18" s="11">
        <f>5</f>
        <v>5</v>
      </c>
    </row>
    <row r="20" spans="1:17" ht="26" customHeight="1">
      <c r="A20" s="14" t="s">
        <v>274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ht="26" customHeight="1">
      <c r="A21" s="14" t="s">
        <v>275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spans="1:17" ht="26" customHeight="1">
      <c r="A22" s="14" t="s">
        <v>276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4" spans="1:17" ht="24" customHeight="1">
      <c r="A24" s="15" t="s">
        <v>52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ht="35" customHeight="1">
      <c r="A25" s="16" t="s">
        <v>53</v>
      </c>
      <c r="B25" s="16" t="s">
        <v>54</v>
      </c>
      <c r="C25" s="16" t="s">
        <v>55</v>
      </c>
      <c r="D25" s="16" t="s">
        <v>56</v>
      </c>
      <c r="E25" s="16" t="s">
        <v>57</v>
      </c>
      <c r="F25" s="16" t="s">
        <v>58</v>
      </c>
      <c r="G25" s="16" t="s">
        <v>59</v>
      </c>
      <c r="H25" s="16" t="s">
        <v>60</v>
      </c>
      <c r="I25" s="16" t="s">
        <v>61</v>
      </c>
      <c r="J25" s="16" t="s">
        <v>62</v>
      </c>
      <c r="K25" s="16" t="s">
        <v>63</v>
      </c>
      <c r="L25" s="16" t="s">
        <v>64</v>
      </c>
      <c r="M25" s="16" t="s">
        <v>65</v>
      </c>
      <c r="N25" s="16" t="s">
        <v>66</v>
      </c>
      <c r="O25" s="16" t="s">
        <v>67</v>
      </c>
      <c r="P25" s="16" t="s">
        <v>68</v>
      </c>
      <c r="Q25" s="16" t="s">
        <v>69</v>
      </c>
    </row>
    <row r="26" spans="1:17" ht="34" customHeight="1">
      <c r="A26" s="17" t="s">
        <v>277</v>
      </c>
      <c r="B26" s="17" t="s">
        <v>71</v>
      </c>
      <c r="C26" s="17" t="s">
        <v>186</v>
      </c>
      <c r="D26" s="12">
        <f>399899491.1571575</f>
        <v>399899491.1571575</v>
      </c>
      <c r="E26" s="13">
        <f>-1</f>
        <v>-1</v>
      </c>
      <c r="F26" s="13">
        <f>0.4242640687119285</f>
        <v>0.4242640687119285</v>
      </c>
      <c r="G26" s="12">
        <f>-169662985.1941655</f>
        <v>-169662985.1941655</v>
      </c>
      <c r="H26" s="13">
        <f>0</f>
        <v>0</v>
      </c>
      <c r="I26" s="13">
        <f>5.7095890410958905</f>
        <v>5.7095890410958905</v>
      </c>
      <c r="J26" s="13">
        <f>4.966924280790654</f>
        <v>4.966924280790654</v>
      </c>
      <c r="K26" s="11">
        <f>3</f>
        <v>3</v>
      </c>
      <c r="L26" s="7">
        <f>0.005</f>
        <v>0.005</v>
      </c>
      <c r="M26" s="13">
        <f>0.0</f>
        <v>0.0</v>
      </c>
      <c r="N26" s="12">
        <f>-420000.0</f>
        <v>-420000.0</v>
      </c>
      <c r="O26" s="17" t="s">
        <v>278</v>
      </c>
      <c r="P26" s="13">
        <f>1.0</f>
        <v>1.0</v>
      </c>
      <c r="Q26" s="12">
        <f>-399899491.1571575</f>
        <v>-399899491.1571575</v>
      </c>
    </row>
    <row r="27" spans="1:17" ht="34" customHeight="1">
      <c r="A27" s="17" t="s">
        <v>279</v>
      </c>
      <c r="B27" s="17" t="s">
        <v>71</v>
      </c>
      <c r="C27" s="17" t="s">
        <v>186</v>
      </c>
      <c r="D27" s="12">
        <f>14136291.147114411</f>
        <v>14136291.147114411</v>
      </c>
      <c r="E27" s="13">
        <f>1</f>
        <v>1</v>
      </c>
      <c r="F27" s="13">
        <f>0.4242640687119285</f>
        <v>0.4242640687119285</v>
      </c>
      <c r="G27" s="12">
        <f>5997520.3985711755</f>
        <v>5997520.3985711755</v>
      </c>
      <c r="H27" s="13">
        <f>0</f>
        <v>0</v>
      </c>
      <c r="I27" s="13">
        <f>0.4438356164383562</f>
        <v>0.4438356164383562</v>
      </c>
      <c r="J27" s="13">
        <f>0.43894709352940264</f>
        <v>0.43894709352940264</v>
      </c>
      <c r="K27" s="11">
        <f>1</f>
        <v>1</v>
      </c>
      <c r="L27" s="7">
        <f>0.005</f>
        <v>0.005</v>
      </c>
      <c r="M27" s="13">
        <f>0.0</f>
        <v>0.0</v>
      </c>
      <c r="N27" s="12">
        <f>95000.0</f>
        <v>95000.0</v>
      </c>
      <c r="O27" s="17" t="s">
        <v>278</v>
      </c>
      <c r="P27" s="13">
        <f>0.6662098891778447</f>
        <v>0.6662098891778447</v>
      </c>
      <c r="Q27" s="12">
        <f>9417736.958504839</f>
        <v>9417736.958504839</v>
      </c>
    </row>
    <row r="28" spans="1:17" ht="34" customHeight="1">
      <c r="A28" s="17" t="s">
        <v>280</v>
      </c>
      <c r="B28" s="17" t="s">
        <v>71</v>
      </c>
      <c r="C28" s="17" t="s">
        <v>281</v>
      </c>
      <c r="D28" s="12">
        <f>138542633.1829032</f>
        <v>138542633.1829032</v>
      </c>
      <c r="E28" s="13">
        <f>1</f>
        <v>1</v>
      </c>
      <c r="F28" s="13">
        <f>0.4242640687119285</f>
        <v>0.4242640687119285</v>
      </c>
      <c r="G28" s="12">
        <f>58778661.24424275</f>
        <v>58778661.24424275</v>
      </c>
      <c r="H28" s="13">
        <f>0</f>
        <v>0</v>
      </c>
      <c r="I28" s="13">
        <f>2.3534246575342466</f>
        <v>2.3534246575342466</v>
      </c>
      <c r="J28" s="13">
        <f>2.2202345061362694</f>
        <v>2.2202345061362694</v>
      </c>
      <c r="K28" s="11">
        <f>2</f>
        <v>2</v>
      </c>
      <c r="L28" s="7">
        <f>0.005</f>
        <v>0.005</v>
      </c>
      <c r="M28" s="13">
        <f>0.0</f>
        <v>0.0</v>
      </c>
      <c r="N28" s="12">
        <f>180000.0</f>
        <v>180000.0</v>
      </c>
      <c r="O28" s="17" t="s">
        <v>282</v>
      </c>
      <c r="P28" s="13">
        <f>1.0</f>
        <v>1.0</v>
      </c>
      <c r="Q28" s="12">
        <f>138542633.1829032</f>
        <v>138542633.1829032</v>
      </c>
    </row>
    <row r="29" spans="1:17" ht="34" customHeight="1">
      <c r="A29" s="17" t="s">
        <v>283</v>
      </c>
      <c r="B29" s="17" t="s">
        <v>71</v>
      </c>
      <c r="C29" s="17" t="s">
        <v>186</v>
      </c>
      <c r="D29" s="12">
        <f>304202386.5825379</f>
        <v>304202386.5825379</v>
      </c>
      <c r="E29" s="13">
        <f>1</f>
        <v>1</v>
      </c>
      <c r="F29" s="13">
        <f>0.4242640687119285</f>
        <v>0.4242640687119285</v>
      </c>
      <c r="G29" s="12">
        <f>129062142.24338649</f>
        <v>129062142.24338649</v>
      </c>
      <c r="H29" s="13">
        <f>0</f>
        <v>0</v>
      </c>
      <c r="I29" s="13">
        <f>3.8986301369863012</f>
        <v>3.8986301369863012</v>
      </c>
      <c r="J29" s="13">
        <f>3.542179629512552</f>
        <v>3.542179629512552</v>
      </c>
      <c r="K29" s="11">
        <f>2</f>
        <v>2</v>
      </c>
      <c r="L29" s="7">
        <f>0.005</f>
        <v>0.005</v>
      </c>
      <c r="M29" s="13">
        <f>0.0</f>
        <v>0.0</v>
      </c>
      <c r="N29" s="12">
        <f>2100000.0</f>
        <v>2100000.0</v>
      </c>
      <c r="O29" s="17" t="s">
        <v>278</v>
      </c>
      <c r="P29" s="13">
        <f>1.0</f>
        <v>1.0</v>
      </c>
      <c r="Q29" s="12">
        <f>304202386.5825379</f>
        <v>304202386.5825379</v>
      </c>
    </row>
    <row r="30" spans="1:17" ht="34" customHeight="1">
      <c r="A30" s="17" t="s">
        <v>284</v>
      </c>
      <c r="B30" s="17" t="s">
        <v>71</v>
      </c>
      <c r="C30" s="17" t="s">
        <v>72</v>
      </c>
      <c r="D30" s="12">
        <f>304202386.5825379</f>
        <v>304202386.5825379</v>
      </c>
      <c r="E30" s="13">
        <f>-1</f>
        <v>-1</v>
      </c>
      <c r="F30" s="13">
        <f>0.4242640687119285</f>
        <v>0.4242640687119285</v>
      </c>
      <c r="G30" s="12">
        <f>-129062142.24338649</f>
        <v>-129062142.24338649</v>
      </c>
      <c r="H30" s="13">
        <f>0</f>
        <v>0</v>
      </c>
      <c r="I30" s="13">
        <f>3.8986301369863012</f>
        <v>3.8986301369863012</v>
      </c>
      <c r="J30" s="13">
        <f>3.542179629512552</f>
        <v>3.542179629512552</v>
      </c>
      <c r="K30" s="11">
        <f>2</f>
        <v>2</v>
      </c>
      <c r="L30" s="7">
        <f>0.005</f>
        <v>0.005</v>
      </c>
      <c r="M30" s="13">
        <f>0.0</f>
        <v>0.0</v>
      </c>
      <c r="N30" s="12">
        <f>0</f>
        <v>0</v>
      </c>
      <c r="O30" s="17" t="s">
        <v>73</v>
      </c>
      <c r="P30" s="13">
        <f>1.0</f>
        <v>1.0</v>
      </c>
      <c r="Q30" s="12">
        <f>-304202386.5825379</f>
        <v>-304202386.5825379</v>
      </c>
    </row>
    <row r="31" spans="1:17" ht="34" customHeight="1">
      <c r="A31" s="17" t="s">
        <v>285</v>
      </c>
      <c r="B31" s="17" t="s">
        <v>77</v>
      </c>
      <c r="C31" s="17" t="s">
        <v>80</v>
      </c>
      <c r="D31" s="12">
        <f>85879999.99999999</f>
        <v>85879999.99999999</v>
      </c>
      <c r="E31" s="13">
        <f>1</f>
        <v>1</v>
      </c>
      <c r="F31" s="13">
        <f>0.4242640687119285</f>
        <v>0.4242640687119285</v>
      </c>
      <c r="G31" s="12">
        <f>36435798.22098041</f>
        <v>36435798.22098041</v>
      </c>
      <c r="H31" s="13">
        <f>0</f>
        <v>0</v>
      </c>
      <c r="I31" s="13">
        <f>3.8986301369863012</f>
        <v>3.8986301369863012</v>
      </c>
      <c r="J31" s="13">
        <f>1.0</f>
        <v>1.0</v>
      </c>
      <c r="K31" s="11">
        <f>0</f>
        <v>0</v>
      </c>
      <c r="L31" s="7">
        <f>0.04</f>
        <v>0.04</v>
      </c>
      <c r="M31" s="13">
        <f>0.0</f>
        <v>0.0</v>
      </c>
      <c r="N31" s="12">
        <f>0</f>
        <v>0</v>
      </c>
      <c r="O31" s="17" t="s">
        <v>80</v>
      </c>
      <c r="P31" s="13">
        <f>1.0</f>
        <v>1.0</v>
      </c>
      <c r="Q31" s="12">
        <f>85879999.99999999</f>
        <v>85879999.99999999</v>
      </c>
    </row>
    <row r="32" spans="1:17" ht="34" customHeight="1">
      <c r="A32" s="17" t="s">
        <v>286</v>
      </c>
      <c r="B32" s="17" t="s">
        <v>194</v>
      </c>
      <c r="C32" s="17" t="s">
        <v>287</v>
      </c>
      <c r="D32" s="12">
        <f>103657264.22999223</f>
        <v>103657264.22999223</v>
      </c>
      <c r="E32" s="13">
        <f>-1</f>
        <v>-1</v>
      </c>
      <c r="F32" s="13">
        <f>0.4242640687119285</f>
        <v>0.4242640687119285</v>
      </c>
      <c r="G32" s="12">
        <f>-43978052.67376395</f>
        <v>-43978052.67376395</v>
      </c>
      <c r="H32" s="13">
        <f>0</f>
        <v>0</v>
      </c>
      <c r="I32" s="13">
        <f>4.646575342465753</f>
        <v>4.646575342465753</v>
      </c>
      <c r="J32" s="13">
        <f>4.146290569199689</f>
        <v>4.146290569199689</v>
      </c>
      <c r="K32" s="11">
        <f>0</f>
        <v>0</v>
      </c>
      <c r="L32" s="7">
        <f>0.0038</f>
        <v>0.0038</v>
      </c>
      <c r="M32" s="13">
        <f>0.8</f>
        <v>0.8</v>
      </c>
      <c r="N32" s="12">
        <f>340000.0</f>
        <v>340000.0</v>
      </c>
      <c r="O32" s="17" t="s">
        <v>288</v>
      </c>
      <c r="P32" s="13">
        <f>1.0</f>
        <v>1.0</v>
      </c>
      <c r="Q32" s="12">
        <f>-103657264.22999223</f>
        <v>-103657264.22999223</v>
      </c>
    </row>
    <row r="35" spans="1:17" ht="24" customHeight="1">
      <c r="A35" s="15" t="s">
        <v>92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7" spans="1:17" ht="35" customHeight="1">
      <c r="A37" s="16" t="s">
        <v>93</v>
      </c>
      <c r="B37" s="16" t="s">
        <v>94</v>
      </c>
      <c r="C37" s="16"/>
      <c r="D37" s="16" t="s">
        <v>95</v>
      </c>
      <c r="E37" s="16"/>
      <c r="F37" s="16" t="s">
        <v>96</v>
      </c>
      <c r="G37" s="16"/>
      <c r="H37" s="16" t="s">
        <v>97</v>
      </c>
      <c r="I37" s="16"/>
      <c r="J37" s="16"/>
      <c r="K37" s="16" t="s">
        <v>64</v>
      </c>
      <c r="L37" s="16" t="s">
        <v>98</v>
      </c>
      <c r="M37" s="16" t="s">
        <v>99</v>
      </c>
      <c r="N37" s="16"/>
      <c r="O37" s="16"/>
      <c r="P37" s="16"/>
      <c r="Q37" s="16"/>
    </row>
    <row r="38" spans="1:17" ht="22" customHeight="1">
      <c r="A38" s="17" t="s">
        <v>186</v>
      </c>
      <c r="B38" s="12">
        <f>5997520.3985711755</f>
        <v>5997520.3985711755</v>
      </c>
      <c r="C38" s="12"/>
      <c r="D38" s="12">
        <f>129062142.24338649</f>
        <v>129062142.24338649</v>
      </c>
      <c r="E38" s="12"/>
      <c r="F38" s="12">
        <f>-169662985.1941655</f>
        <v>-169662985.1941655</v>
      </c>
      <c r="G38" s="12"/>
      <c r="H38" s="12">
        <f>123676106.54745641</f>
        <v>123676106.54745641</v>
      </c>
      <c r="I38" s="12"/>
      <c r="J38" s="12"/>
      <c r="K38" s="7">
        <f>0.005</f>
        <v>0.005</v>
      </c>
      <c r="L38" s="13">
        <f>1</f>
        <v>1</v>
      </c>
      <c r="M38" s="12">
        <f>618380.5327372821</f>
        <v>618380.5327372821</v>
      </c>
      <c r="N38" s="12"/>
      <c r="O38" s="12"/>
      <c r="P38" s="12"/>
      <c r="Q38" s="12"/>
    </row>
    <row r="39" spans="1:17" ht="22" customHeight="1">
      <c r="A39" s="17" t="s">
        <v>281</v>
      </c>
      <c r="B39" s="12">
        <f>0</f>
        <v>0</v>
      </c>
      <c r="C39" s="12"/>
      <c r="D39" s="12">
        <f>58778661.24424275</f>
        <v>58778661.24424275</v>
      </c>
      <c r="E39" s="12"/>
      <c r="F39" s="12">
        <f>0</f>
        <v>0</v>
      </c>
      <c r="G39" s="12"/>
      <c r="H39" s="12">
        <f>58778661.24424275</f>
        <v>58778661.24424275</v>
      </c>
      <c r="I39" s="12"/>
      <c r="J39" s="12"/>
      <c r="K39" s="7">
        <f>0.005</f>
        <v>0.005</v>
      </c>
      <c r="L39" s="13">
        <f>1</f>
        <v>1</v>
      </c>
      <c r="M39" s="12">
        <f>293893.3062212138</f>
        <v>293893.3062212138</v>
      </c>
      <c r="N39" s="12"/>
      <c r="O39" s="12"/>
      <c r="P39" s="12"/>
      <c r="Q39" s="12"/>
    </row>
    <row r="40" spans="1:17" ht="22" customHeight="1">
      <c r="A40" s="17" t="s">
        <v>72</v>
      </c>
      <c r="B40" s="12">
        <f>0</f>
        <v>0</v>
      </c>
      <c r="C40" s="12"/>
      <c r="D40" s="12">
        <f>-129062142.24338649</f>
        <v>-129062142.24338649</v>
      </c>
      <c r="E40" s="12"/>
      <c r="F40" s="12">
        <f>0</f>
        <v>0</v>
      </c>
      <c r="G40" s="12"/>
      <c r="H40" s="12">
        <f>129062142.24338649</f>
        <v>129062142.24338649</v>
      </c>
      <c r="I40" s="12"/>
      <c r="J40" s="12"/>
      <c r="K40" s="7">
        <f>0.005</f>
        <v>0.005</v>
      </c>
      <c r="L40" s="13">
        <f>1</f>
        <v>1</v>
      </c>
      <c r="M40" s="12">
        <f>645310.7112169325</f>
        <v>645310.7112169325</v>
      </c>
      <c r="N40" s="12"/>
      <c r="O40" s="12"/>
      <c r="P40" s="12"/>
      <c r="Q40" s="12"/>
    </row>
    <row r="43" spans="1:17" ht="35" customHeight="1">
      <c r="A43" s="16" t="s">
        <v>100</v>
      </c>
      <c r="B43" s="16"/>
      <c r="C43" s="16"/>
      <c r="D43" s="16" t="s">
        <v>101</v>
      </c>
      <c r="E43" s="16"/>
      <c r="F43" s="16"/>
      <c r="G43" s="16"/>
      <c r="H43" s="16" t="s">
        <v>64</v>
      </c>
      <c r="I43" s="16" t="s">
        <v>98</v>
      </c>
      <c r="J43" s="16" t="s">
        <v>102</v>
      </c>
      <c r="K43" s="16"/>
      <c r="L43" s="16"/>
      <c r="M43" s="16"/>
      <c r="N43" s="16"/>
      <c r="O43" s="16"/>
      <c r="P43" s="16"/>
      <c r="Q43" s="16"/>
    </row>
    <row r="44" spans="1:17" ht="22" customHeight="1">
      <c r="A44" s="17" t="s">
        <v>80</v>
      </c>
      <c r="B44" s="17"/>
      <c r="C44" s="17"/>
      <c r="D44" s="12">
        <f>36435798.22098041</f>
        <v>36435798.22098041</v>
      </c>
      <c r="E44" s="12"/>
      <c r="F44" s="12"/>
      <c r="G44" s="12"/>
      <c r="H44" s="7">
        <f>0.04</f>
        <v>0.04</v>
      </c>
      <c r="I44" s="13">
        <f>1</f>
        <v>1</v>
      </c>
      <c r="J44" s="12">
        <f>1457431.9288392165</f>
        <v>1457431.9288392165</v>
      </c>
      <c r="K44" s="12"/>
      <c r="L44" s="12"/>
      <c r="M44" s="12"/>
      <c r="N44" s="12"/>
      <c r="O44" s="12"/>
      <c r="P44" s="12"/>
      <c r="Q44" s="12"/>
    </row>
    <row r="47" spans="1:17" ht="35" customHeight="1">
      <c r="A47" s="16" t="s">
        <v>54</v>
      </c>
      <c r="B47" s="16" t="s">
        <v>55</v>
      </c>
      <c r="C47" s="16"/>
      <c r="D47" s="16" t="s">
        <v>103</v>
      </c>
      <c r="E47" s="16"/>
      <c r="F47" s="16" t="s">
        <v>104</v>
      </c>
      <c r="G47" s="16"/>
      <c r="H47" s="16" t="s">
        <v>64</v>
      </c>
      <c r="I47" s="16" t="s">
        <v>105</v>
      </c>
      <c r="J47" s="16" t="s">
        <v>106</v>
      </c>
      <c r="K47" s="16"/>
      <c r="L47" s="16" t="s">
        <v>107</v>
      </c>
      <c r="M47" s="16"/>
      <c r="N47" s="16" t="s">
        <v>108</v>
      </c>
      <c r="O47" s="16"/>
      <c r="P47" s="16" t="s">
        <v>109</v>
      </c>
      <c r="Q47" s="16"/>
    </row>
    <row r="48" spans="1:17" ht="34" customHeight="1">
      <c r="A48" s="17" t="s">
        <v>194</v>
      </c>
      <c r="B48" s="17" t="s">
        <v>287</v>
      </c>
      <c r="C48" s="17"/>
      <c r="D48" s="17" t="s">
        <v>288</v>
      </c>
      <c r="E48" s="17"/>
      <c r="F48" s="12">
        <f>-43978052.67376395</f>
        <v>-43978052.67376395</v>
      </c>
      <c r="G48" s="12"/>
      <c r="H48" s="7">
        <f>0.0038</f>
        <v>0.0038</v>
      </c>
      <c r="I48" s="13">
        <f>0.8</f>
        <v>0.8</v>
      </c>
      <c r="J48" s="12">
        <f>-167116.60016030303</f>
        <v>-167116.60016030303</v>
      </c>
      <c r="K48" s="12"/>
      <c r="L48" s="12">
        <f>-133693.28012824242</f>
        <v>-133693.28012824242</v>
      </c>
      <c r="M48" s="12"/>
      <c r="N48" s="18">
        <f>10054064897.689892</f>
        <v>10054064897.689892</v>
      </c>
      <c r="O48" s="18"/>
      <c r="P48" s="12">
        <f>167116.60016030303</f>
        <v>167116.60016030303</v>
      </c>
      <c r="Q48" s="12"/>
    </row>
    <row r="51" spans="1:17" ht="35" customHeight="1">
      <c r="A51" s="16" t="s">
        <v>54</v>
      </c>
      <c r="B51" s="16" t="s">
        <v>55</v>
      </c>
      <c r="C51" s="16"/>
      <c r="D51" s="16" t="s">
        <v>110</v>
      </c>
      <c r="E51" s="16"/>
      <c r="F51" s="16"/>
      <c r="G51" s="16"/>
      <c r="H51" s="16"/>
      <c r="I51" s="16"/>
      <c r="J51" s="16" t="s">
        <v>111</v>
      </c>
      <c r="K51" s="16"/>
      <c r="L51" s="16"/>
      <c r="M51" s="16"/>
      <c r="N51" s="16" t="s">
        <v>112</v>
      </c>
      <c r="O51" s="16"/>
      <c r="P51" s="16"/>
      <c r="Q51" s="16"/>
    </row>
    <row r="52" spans="1:17" ht="22" customHeight="1">
      <c r="A52" s="17" t="s">
        <v>194</v>
      </c>
      <c r="B52" s="17" t="s">
        <v>287</v>
      </c>
      <c r="C52" s="17"/>
      <c r="D52" s="12">
        <f>-133693.28012824242</f>
        <v>-133693.28012824242</v>
      </c>
      <c r="E52" s="12"/>
      <c r="F52" s="12"/>
      <c r="G52" s="12"/>
      <c r="H52" s="12"/>
      <c r="I52" s="12"/>
      <c r="J52" s="18">
        <f>10054064897.689892</f>
        <v>10054064897.689892</v>
      </c>
      <c r="K52" s="18"/>
      <c r="L52" s="18"/>
      <c r="M52" s="18"/>
      <c r="N52" s="12">
        <f>167116.60016030303</f>
        <v>167116.60016030303</v>
      </c>
      <c r="O52" s="12"/>
      <c r="P52" s="12"/>
      <c r="Q52" s="12"/>
    </row>
    <row r="55" spans="1:17" ht="24" customHeight="1">
      <c r="A55" s="15" t="s">
        <v>289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7" spans="1:17" ht="35" customHeight="1">
      <c r="A57" s="16" t="s">
        <v>93</v>
      </c>
      <c r="B57" s="16" t="s">
        <v>94</v>
      </c>
      <c r="C57" s="16"/>
      <c r="D57" s="16" t="s">
        <v>95</v>
      </c>
      <c r="E57" s="16"/>
      <c r="F57" s="16" t="s">
        <v>96</v>
      </c>
      <c r="G57" s="16"/>
      <c r="H57" s="16" t="s">
        <v>97</v>
      </c>
      <c r="I57" s="16"/>
      <c r="J57" s="16"/>
      <c r="K57" s="16" t="s">
        <v>64</v>
      </c>
      <c r="L57" s="16" t="s">
        <v>98</v>
      </c>
      <c r="M57" s="16" t="s">
        <v>99</v>
      </c>
      <c r="N57" s="16"/>
      <c r="O57" s="16"/>
      <c r="P57" s="16"/>
      <c r="Q57" s="16"/>
    </row>
    <row r="58" spans="1:17" ht="22" customHeight="1">
      <c r="A58" s="17" t="s">
        <v>186</v>
      </c>
      <c r="B58" s="12">
        <f>9417736.958504839</f>
        <v>9417736.958504839</v>
      </c>
      <c r="C58" s="12"/>
      <c r="D58" s="12">
        <f>304202386.5825379</f>
        <v>304202386.5825379</v>
      </c>
      <c r="E58" s="12"/>
      <c r="F58" s="12">
        <f>-399899491.1571575</f>
        <v>-399899491.1571575</v>
      </c>
      <c r="G58" s="12"/>
      <c r="H58" s="12">
        <f>289806876.57010067</f>
        <v>289806876.57010067</v>
      </c>
      <c r="I58" s="12"/>
      <c r="J58" s="12"/>
      <c r="K58" s="7">
        <f>0.005</f>
        <v>0.005</v>
      </c>
      <c r="L58" s="13">
        <f>1</f>
        <v>1</v>
      </c>
      <c r="M58" s="12">
        <f>1449034.3828505033</f>
        <v>1449034.3828505033</v>
      </c>
      <c r="N58" s="12"/>
      <c r="O58" s="12"/>
      <c r="P58" s="12"/>
      <c r="Q58" s="12"/>
    </row>
    <row r="59" spans="1:17" ht="22" customHeight="1">
      <c r="A59" s="17" t="s">
        <v>281</v>
      </c>
      <c r="B59" s="12">
        <f>0</f>
        <v>0</v>
      </c>
      <c r="C59" s="12"/>
      <c r="D59" s="12">
        <f>138542633.1829032</f>
        <v>138542633.1829032</v>
      </c>
      <c r="E59" s="12"/>
      <c r="F59" s="12">
        <f>0</f>
        <v>0</v>
      </c>
      <c r="G59" s="12"/>
      <c r="H59" s="12">
        <f>138542633.1829032</f>
        <v>138542633.1829032</v>
      </c>
      <c r="I59" s="12"/>
      <c r="J59" s="12"/>
      <c r="K59" s="7">
        <f>0.005</f>
        <v>0.005</v>
      </c>
      <c r="L59" s="13">
        <f>1</f>
        <v>1</v>
      </c>
      <c r="M59" s="12">
        <f>692713.165914516</f>
        <v>692713.165914516</v>
      </c>
      <c r="N59" s="12"/>
      <c r="O59" s="12"/>
      <c r="P59" s="12"/>
      <c r="Q59" s="12"/>
    </row>
    <row r="60" spans="1:17" ht="22" customHeight="1">
      <c r="A60" s="17" t="s">
        <v>72</v>
      </c>
      <c r="B60" s="12">
        <f>0</f>
        <v>0</v>
      </c>
      <c r="C60" s="12"/>
      <c r="D60" s="12">
        <f>-304202386.5825379</f>
        <v>-304202386.5825379</v>
      </c>
      <c r="E60" s="12"/>
      <c r="F60" s="12">
        <f>0</f>
        <v>0</v>
      </c>
      <c r="G60" s="12"/>
      <c r="H60" s="12">
        <f>304202386.5825379</f>
        <v>304202386.5825379</v>
      </c>
      <c r="I60" s="12"/>
      <c r="J60" s="12"/>
      <c r="K60" s="7">
        <f>0.005</f>
        <v>0.005</v>
      </c>
      <c r="L60" s="13">
        <f>1</f>
        <v>1</v>
      </c>
      <c r="M60" s="12">
        <f>1521011.9329126894</f>
        <v>1521011.9329126894</v>
      </c>
      <c r="N60" s="12"/>
      <c r="O60" s="12"/>
      <c r="P60" s="12"/>
      <c r="Q60" s="12"/>
    </row>
    <row r="63" spans="1:17" ht="35" customHeight="1">
      <c r="A63" s="16" t="s">
        <v>100</v>
      </c>
      <c r="B63" s="16"/>
      <c r="C63" s="16"/>
      <c r="D63" s="16" t="s">
        <v>101</v>
      </c>
      <c r="E63" s="16"/>
      <c r="F63" s="16"/>
      <c r="G63" s="16"/>
      <c r="H63" s="16" t="s">
        <v>64</v>
      </c>
      <c r="I63" s="16" t="s">
        <v>98</v>
      </c>
      <c r="J63" s="16" t="s">
        <v>102</v>
      </c>
      <c r="K63" s="16"/>
      <c r="L63" s="16"/>
      <c r="M63" s="16"/>
      <c r="N63" s="16"/>
      <c r="O63" s="16"/>
      <c r="P63" s="16"/>
      <c r="Q63" s="16"/>
    </row>
    <row r="64" spans="1:17" ht="22" customHeight="1">
      <c r="A64" s="17" t="s">
        <v>80</v>
      </c>
      <c r="B64" s="17"/>
      <c r="C64" s="17"/>
      <c r="D64" s="12">
        <f>85879999.99999999</f>
        <v>85879999.99999999</v>
      </c>
      <c r="E64" s="12"/>
      <c r="F64" s="12"/>
      <c r="G64" s="12"/>
      <c r="H64" s="7">
        <f>0.04</f>
        <v>0.04</v>
      </c>
      <c r="I64" s="13">
        <f>1</f>
        <v>1</v>
      </c>
      <c r="J64" s="12">
        <f>3435199.9999999995</f>
        <v>3435199.9999999995</v>
      </c>
      <c r="K64" s="12"/>
      <c r="L64" s="12"/>
      <c r="M64" s="12"/>
      <c r="N64" s="12"/>
      <c r="O64" s="12"/>
      <c r="P64" s="12"/>
      <c r="Q64" s="12"/>
    </row>
    <row r="67" spans="1:17" ht="35" customHeight="1">
      <c r="A67" s="16" t="s">
        <v>54</v>
      </c>
      <c r="B67" s="16" t="s">
        <v>55</v>
      </c>
      <c r="C67" s="16"/>
      <c r="D67" s="16" t="s">
        <v>103</v>
      </c>
      <c r="E67" s="16"/>
      <c r="F67" s="16" t="s">
        <v>104</v>
      </c>
      <c r="G67" s="16"/>
      <c r="H67" s="16" t="s">
        <v>64</v>
      </c>
      <c r="I67" s="16" t="s">
        <v>105</v>
      </c>
      <c r="J67" s="16" t="s">
        <v>106</v>
      </c>
      <c r="K67" s="16"/>
      <c r="L67" s="16" t="s">
        <v>107</v>
      </c>
      <c r="M67" s="16"/>
      <c r="N67" s="16" t="s">
        <v>108</v>
      </c>
      <c r="O67" s="16"/>
      <c r="P67" s="16" t="s">
        <v>109</v>
      </c>
      <c r="Q67" s="16"/>
    </row>
    <row r="68" spans="1:17" ht="34" customHeight="1">
      <c r="A68" s="17" t="s">
        <v>194</v>
      </c>
      <c r="B68" s="17" t="s">
        <v>287</v>
      </c>
      <c r="C68" s="17"/>
      <c r="D68" s="17" t="s">
        <v>288</v>
      </c>
      <c r="E68" s="17"/>
      <c r="F68" s="12">
        <f>-103657264.22999223</f>
        <v>-103657264.22999223</v>
      </c>
      <c r="G68" s="12"/>
      <c r="H68" s="7">
        <f>0.0038</f>
        <v>0.0038</v>
      </c>
      <c r="I68" s="13">
        <f>0.8</f>
        <v>0.8</v>
      </c>
      <c r="J68" s="12">
        <f>-393897.60407397046</f>
        <v>-393897.60407397046</v>
      </c>
      <c r="K68" s="12"/>
      <c r="L68" s="12">
        <f>-315118.0832591764</f>
        <v>-315118.0832591764</v>
      </c>
      <c r="M68" s="12"/>
      <c r="N68" s="18">
        <f>55855916098.27716</f>
        <v>55855916098.27716</v>
      </c>
      <c r="O68" s="18"/>
      <c r="P68" s="12">
        <f>393897.60407397046</f>
        <v>393897.60407397046</v>
      </c>
      <c r="Q68" s="12"/>
    </row>
    <row r="71" spans="1:17" ht="35" customHeight="1">
      <c r="A71" s="16" t="s">
        <v>54</v>
      </c>
      <c r="B71" s="16" t="s">
        <v>55</v>
      </c>
      <c r="C71" s="16"/>
      <c r="D71" s="16" t="s">
        <v>110</v>
      </c>
      <c r="E71" s="16"/>
      <c r="F71" s="16"/>
      <c r="G71" s="16"/>
      <c r="H71" s="16"/>
      <c r="I71" s="16"/>
      <c r="J71" s="16" t="s">
        <v>111</v>
      </c>
      <c r="K71" s="16"/>
      <c r="L71" s="16"/>
      <c r="M71" s="16"/>
      <c r="N71" s="16" t="s">
        <v>112</v>
      </c>
      <c r="O71" s="16"/>
      <c r="P71" s="16"/>
      <c r="Q71" s="16"/>
    </row>
    <row r="72" spans="1:17" ht="22" customHeight="1">
      <c r="A72" s="17" t="s">
        <v>194</v>
      </c>
      <c r="B72" s="17" t="s">
        <v>287</v>
      </c>
      <c r="C72" s="17"/>
      <c r="D72" s="12">
        <f>-315118.0832591764</f>
        <v>-315118.0832591764</v>
      </c>
      <c r="E72" s="12"/>
      <c r="F72" s="12"/>
      <c r="G72" s="12"/>
      <c r="H72" s="12"/>
      <c r="I72" s="12"/>
      <c r="J72" s="18">
        <f>55855916098.27716</f>
        <v>55855916098.27716</v>
      </c>
      <c r="K72" s="18"/>
      <c r="L72" s="18"/>
      <c r="M72" s="18"/>
      <c r="N72" s="12">
        <f>393897.60407397046</f>
        <v>393897.60407397046</v>
      </c>
      <c r="O72" s="12"/>
      <c r="P72" s="12"/>
      <c r="Q72" s="12"/>
    </row>
    <row r="75" spans="1:17" ht="24" customHeight="1">
      <c r="A75" s="15" t="s">
        <v>113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spans="1:17" ht="35" customHeight="1">
      <c r="A76" s="16" t="s">
        <v>114</v>
      </c>
      <c r="B76" s="16"/>
      <c r="C76" s="16"/>
      <c r="D76" s="16"/>
      <c r="E76" s="16" t="s">
        <v>115</v>
      </c>
      <c r="F76" s="16"/>
      <c r="G76" s="16"/>
      <c r="H76" s="16" t="s">
        <v>116</v>
      </c>
      <c r="I76" s="16"/>
      <c r="J76" s="16"/>
      <c r="K76" s="16"/>
      <c r="L76" s="16"/>
      <c r="M76" s="16"/>
      <c r="N76" s="16"/>
      <c r="O76" s="16"/>
      <c r="P76" s="16"/>
      <c r="Q76" s="16"/>
    </row>
    <row r="77" spans="1:17" ht="27" customHeight="1">
      <c r="A77" s="3" t="s">
        <v>117</v>
      </c>
      <c r="B77" s="3"/>
      <c r="C77" s="3"/>
      <c r="D77" s="3"/>
      <c r="E77" s="12">
        <f>2295000.0</f>
        <v>2295000.0</v>
      </c>
      <c r="F77" s="12"/>
      <c r="G77" s="12"/>
      <c r="H77" s="17" t="s">
        <v>118</v>
      </c>
      <c r="I77" s="17"/>
      <c r="J77" s="17"/>
      <c r="K77" s="17"/>
      <c r="L77" s="17"/>
      <c r="M77" s="17"/>
      <c r="N77" s="17"/>
      <c r="O77" s="17"/>
      <c r="P77" s="17"/>
      <c r="Q77" s="17"/>
    </row>
    <row r="78" spans="1:17" ht="27" customHeight="1">
      <c r="A78" s="3" t="s">
        <v>119</v>
      </c>
      <c r="B78" s="3"/>
      <c r="C78" s="3"/>
      <c r="D78" s="3"/>
      <c r="E78" s="12">
        <f>0.0</f>
        <v>0.0</v>
      </c>
      <c r="F78" s="12"/>
      <c r="G78" s="12"/>
      <c r="H78" s="17" t="s">
        <v>120</v>
      </c>
      <c r="I78" s="17"/>
      <c r="J78" s="17"/>
      <c r="K78" s="17"/>
      <c r="L78" s="17"/>
      <c r="M78" s="17"/>
      <c r="N78" s="17"/>
      <c r="O78" s="17"/>
      <c r="P78" s="17"/>
      <c r="Q78" s="17"/>
    </row>
    <row r="79" spans="1:17" ht="27" customHeight="1">
      <c r="A79" s="3" t="s">
        <v>121</v>
      </c>
      <c r="B79" s="3"/>
      <c r="C79" s="3"/>
      <c r="D79" s="3"/>
      <c r="E79" s="12">
        <f>2295000.0</f>
        <v>2295000.0</v>
      </c>
      <c r="F79" s="12"/>
      <c r="G79" s="12"/>
      <c r="H79" s="17" t="s">
        <v>122</v>
      </c>
      <c r="I79" s="17"/>
      <c r="J79" s="17"/>
      <c r="K79" s="17"/>
      <c r="L79" s="17"/>
      <c r="M79" s="17"/>
      <c r="N79" s="17"/>
      <c r="O79" s="17"/>
      <c r="P79" s="17"/>
      <c r="Q79" s="17"/>
    </row>
    <row r="80" spans="1:17" ht="27" customHeight="1">
      <c r="A80" s="3" t="s">
        <v>123</v>
      </c>
      <c r="B80" s="3"/>
      <c r="C80" s="3"/>
      <c r="D80" s="3"/>
      <c r="E80" s="19">
        <f>268375.0</f>
        <v>268375.0</v>
      </c>
      <c r="F80" s="19"/>
      <c r="G80" s="19"/>
      <c r="H80" s="17" t="s">
        <v>124</v>
      </c>
      <c r="I80" s="17"/>
      <c r="J80" s="17"/>
      <c r="K80" s="17"/>
      <c r="L80" s="17"/>
      <c r="M80" s="17"/>
      <c r="N80" s="17"/>
      <c r="O80" s="17"/>
      <c r="P80" s="17"/>
      <c r="Q80" s="17"/>
    </row>
    <row r="81" spans="1:17" ht="27" customHeight="1">
      <c r="A81" s="3" t="s">
        <v>125</v>
      </c>
      <c r="B81" s="3"/>
      <c r="C81" s="3"/>
      <c r="D81" s="3"/>
      <c r="E81" s="13">
        <f>1.0</f>
        <v>1.0</v>
      </c>
      <c r="F81" s="13"/>
      <c r="G81" s="13"/>
      <c r="H81" s="17" t="s">
        <v>126</v>
      </c>
      <c r="I81" s="17"/>
      <c r="J81" s="17"/>
      <c r="K81" s="17"/>
      <c r="L81" s="17"/>
      <c r="M81" s="17"/>
      <c r="N81" s="17"/>
      <c r="O81" s="17"/>
      <c r="P81" s="17"/>
      <c r="Q81" s="17"/>
    </row>
    <row r="82" spans="1:17" ht="27" customHeight="1">
      <c r="A82" s="3" t="s">
        <v>127</v>
      </c>
      <c r="B82" s="3"/>
      <c r="C82" s="3"/>
      <c r="D82" s="3"/>
      <c r="E82" s="19">
        <f>3182133.079174948</f>
        <v>3182133.079174948</v>
      </c>
      <c r="F82" s="19"/>
      <c r="G82" s="19"/>
      <c r="H82" s="17" t="s">
        <v>128</v>
      </c>
      <c r="I82" s="17"/>
      <c r="J82" s="17"/>
      <c r="K82" s="17"/>
      <c r="L82" s="17"/>
      <c r="M82" s="17"/>
      <c r="N82" s="17"/>
      <c r="O82" s="17"/>
      <c r="P82" s="17"/>
      <c r="Q82" s="17"/>
    </row>
    <row r="83" spans="1:17" ht="27" customHeight="1">
      <c r="A83" s="3" t="s">
        <v>129</v>
      </c>
      <c r="B83" s="3"/>
      <c r="C83" s="3"/>
      <c r="D83" s="3"/>
      <c r="E83" s="19">
        <f>1557584.5501754284</f>
        <v>1557584.5501754284</v>
      </c>
      <c r="F83" s="19"/>
      <c r="G83" s="19"/>
      <c r="H83" s="17" t="s">
        <v>130</v>
      </c>
      <c r="I83" s="17"/>
      <c r="J83" s="17"/>
      <c r="K83" s="17"/>
      <c r="L83" s="17"/>
      <c r="M83" s="17"/>
      <c r="N83" s="17"/>
      <c r="O83" s="17"/>
      <c r="P83" s="17"/>
      <c r="Q83" s="17"/>
    </row>
    <row r="84" spans="1:17" ht="27" customHeight="1">
      <c r="A84" s="3" t="s">
        <v>131</v>
      </c>
      <c r="B84" s="3"/>
      <c r="C84" s="3"/>
      <c r="D84" s="3"/>
      <c r="E84" s="19">
        <f>1457431.9288392165</f>
        <v>1457431.9288392165</v>
      </c>
      <c r="F84" s="19"/>
      <c r="G84" s="19"/>
      <c r="H84" s="17" t="s">
        <v>130</v>
      </c>
      <c r="I84" s="17"/>
      <c r="J84" s="17"/>
      <c r="K84" s="17"/>
      <c r="L84" s="17"/>
      <c r="M84" s="17"/>
      <c r="N84" s="17"/>
      <c r="O84" s="17"/>
      <c r="P84" s="17"/>
      <c r="Q84" s="17"/>
    </row>
    <row r="85" spans="1:17" ht="27" customHeight="1">
      <c r="A85" s="3" t="s">
        <v>132</v>
      </c>
      <c r="B85" s="3"/>
      <c r="C85" s="3"/>
      <c r="D85" s="3"/>
      <c r="E85" s="19">
        <f>167116.60016030303</f>
        <v>167116.60016030303</v>
      </c>
      <c r="F85" s="19"/>
      <c r="G85" s="19"/>
      <c r="H85" s="17" t="s">
        <v>130</v>
      </c>
      <c r="I85" s="17"/>
      <c r="J85" s="17"/>
      <c r="K85" s="17"/>
      <c r="L85" s="17"/>
      <c r="M85" s="17"/>
      <c r="N85" s="17"/>
      <c r="O85" s="17"/>
      <c r="P85" s="17"/>
      <c r="Q85" s="17"/>
    </row>
    <row r="86" spans="1:17" ht="27" customHeight="1">
      <c r="A86" s="3" t="s">
        <v>133</v>
      </c>
      <c r="B86" s="3"/>
      <c r="C86" s="3"/>
      <c r="D86" s="3"/>
      <c r="E86" s="19">
        <f>0.0</f>
        <v>0.0</v>
      </c>
      <c r="F86" s="19"/>
      <c r="G86" s="19"/>
      <c r="H86" s="17" t="s">
        <v>130</v>
      </c>
      <c r="I86" s="17"/>
      <c r="J86" s="17"/>
      <c r="K86" s="17"/>
      <c r="L86" s="17"/>
      <c r="M86" s="17"/>
      <c r="N86" s="17"/>
      <c r="O86" s="17"/>
      <c r="P86" s="17"/>
      <c r="Q86" s="17"/>
    </row>
    <row r="87" spans="1:17" ht="27" customHeight="1">
      <c r="A87" s="3" t="s">
        <v>134</v>
      </c>
      <c r="B87" s="3"/>
      <c r="C87" s="3"/>
      <c r="D87" s="3"/>
      <c r="E87" s="19">
        <f>0.0</f>
        <v>0.0</v>
      </c>
      <c r="F87" s="19"/>
      <c r="G87" s="19"/>
      <c r="H87" s="17" t="s">
        <v>130</v>
      </c>
      <c r="I87" s="17"/>
      <c r="J87" s="17"/>
      <c r="K87" s="17"/>
      <c r="L87" s="17"/>
      <c r="M87" s="17"/>
      <c r="N87" s="17"/>
      <c r="O87" s="17"/>
      <c r="P87" s="17"/>
      <c r="Q87" s="17"/>
    </row>
    <row r="88" spans="1:17" ht="27" customHeight="1">
      <c r="A88" s="3" t="s">
        <v>135</v>
      </c>
      <c r="B88" s="3"/>
      <c r="C88" s="3"/>
      <c r="D88" s="3"/>
      <c r="E88" s="19">
        <f>3182133.079174948</f>
        <v>3182133.079174948</v>
      </c>
      <c r="F88" s="19"/>
      <c r="G88" s="19"/>
      <c r="H88" s="17" t="s">
        <v>136</v>
      </c>
      <c r="I88" s="17"/>
      <c r="J88" s="17"/>
      <c r="K88" s="17"/>
      <c r="L88" s="17"/>
      <c r="M88" s="17"/>
      <c r="N88" s="17"/>
      <c r="O88" s="17"/>
      <c r="P88" s="17"/>
      <c r="Q88" s="17"/>
    </row>
    <row r="89" spans="1:17" ht="27" customHeight="1">
      <c r="A89" s="3" t="s">
        <v>137</v>
      </c>
      <c r="B89" s="3"/>
      <c r="C89" s="3"/>
      <c r="D89" s="3"/>
      <c r="E89" s="19">
        <f>4830711.310844927</f>
        <v>4830711.310844927</v>
      </c>
      <c r="F89" s="19"/>
      <c r="G89" s="19"/>
      <c r="H89" s="17" t="s">
        <v>138</v>
      </c>
      <c r="I89" s="17"/>
      <c r="J89" s="17"/>
      <c r="K89" s="17"/>
      <c r="L89" s="17"/>
      <c r="M89" s="17"/>
      <c r="N89" s="17"/>
      <c r="O89" s="17"/>
      <c r="P89" s="17"/>
      <c r="Q89" s="17"/>
    </row>
    <row r="90" spans="1:17" ht="27" customHeight="1">
      <c r="A90" s="3" t="s">
        <v>139</v>
      </c>
      <c r="B90" s="3"/>
      <c r="C90" s="3"/>
      <c r="D90" s="3"/>
      <c r="E90" s="7">
        <f>0.3</f>
        <v>0.3</v>
      </c>
      <c r="F90" s="7"/>
      <c r="G90" s="7"/>
      <c r="H90" s="17" t="s">
        <v>140</v>
      </c>
      <c r="I90" s="17"/>
      <c r="J90" s="17"/>
      <c r="K90" s="17"/>
      <c r="L90" s="17"/>
      <c r="M90" s="17"/>
      <c r="N90" s="17"/>
      <c r="O90" s="17"/>
      <c r="P90" s="17"/>
      <c r="Q90" s="17"/>
    </row>
    <row r="91" spans="1:17" ht="27" customHeight="1">
      <c r="A91" s="3" t="s">
        <v>141</v>
      </c>
      <c r="B91" s="3"/>
      <c r="C91" s="3"/>
      <c r="D91" s="3"/>
      <c r="E91" s="19">
        <f>1449213.393253478</f>
        <v>1449213.393253478</v>
      </c>
      <c r="F91" s="19"/>
      <c r="G91" s="19"/>
      <c r="H91" s="17" t="s">
        <v>142</v>
      </c>
      <c r="I91" s="17"/>
      <c r="J91" s="17"/>
      <c r="K91" s="17"/>
      <c r="L91" s="17"/>
      <c r="M91" s="17"/>
      <c r="N91" s="17"/>
      <c r="O91" s="17"/>
      <c r="P91" s="17"/>
      <c r="Q91" s="17"/>
    </row>
    <row r="92" spans="1:17" ht="27" customHeight="1">
      <c r="A92" s="3" t="s">
        <v>143</v>
      </c>
      <c r="B92" s="3"/>
      <c r="C92" s="3"/>
      <c r="D92" s="3"/>
      <c r="E92" s="19">
        <f>115937.07146027824</f>
        <v>115937.07146027824</v>
      </c>
      <c r="F92" s="19"/>
      <c r="G92" s="19"/>
      <c r="H92" s="17" t="s">
        <v>144</v>
      </c>
      <c r="I92" s="17"/>
      <c r="J92" s="17"/>
      <c r="K92" s="17"/>
      <c r="L92" s="17"/>
      <c r="M92" s="17"/>
      <c r="N92" s="17"/>
      <c r="O92" s="17"/>
      <c r="P92" s="17"/>
      <c r="Q92" s="17"/>
    </row>
    <row r="93" spans="1:17" ht="27" customHeight="1">
      <c r="A93" s="3" t="s">
        <v>145</v>
      </c>
      <c r="B93" s="3"/>
      <c r="C93" s="3"/>
      <c r="D93" s="3"/>
      <c r="E93" s="12">
        <f>4830711.310844927</f>
        <v>4830711.310844927</v>
      </c>
      <c r="F93" s="12"/>
      <c r="G93" s="12"/>
      <c r="H93" s="17" t="s">
        <v>146</v>
      </c>
      <c r="I93" s="17"/>
      <c r="J93" s="17"/>
      <c r="K93" s="17"/>
      <c r="L93" s="17"/>
      <c r="M93" s="17"/>
      <c r="N93" s="17"/>
      <c r="O93" s="17"/>
      <c r="P93" s="17"/>
      <c r="Q93" s="17"/>
    </row>
    <row r="94" spans="1:17" ht="27" customHeight="1">
      <c r="A94" s="3" t="s">
        <v>147</v>
      </c>
      <c r="B94" s="3"/>
      <c r="C94" s="3"/>
      <c r="D94" s="3"/>
      <c r="E94" s="12">
        <f>2295000.0</f>
        <v>2295000.0</v>
      </c>
      <c r="F94" s="12"/>
      <c r="G94" s="12"/>
      <c r="H94" s="17" t="s">
        <v>148</v>
      </c>
      <c r="I94" s="17"/>
      <c r="J94" s="17"/>
      <c r="K94" s="17"/>
      <c r="L94" s="17"/>
      <c r="M94" s="17"/>
      <c r="N94" s="17"/>
      <c r="O94" s="17"/>
      <c r="P94" s="17"/>
      <c r="Q94" s="17"/>
    </row>
    <row r="95" spans="1:17" ht="27" customHeight="1">
      <c r="A95" s="3" t="s">
        <v>149</v>
      </c>
      <c r="B95" s="3"/>
      <c r="C95" s="3"/>
      <c r="D95" s="3"/>
      <c r="E95" s="12">
        <f>7491857.08575168</f>
        <v>7491857.08575168</v>
      </c>
      <c r="F95" s="12"/>
      <c r="G95" s="12"/>
      <c r="H95" s="17" t="s">
        <v>150</v>
      </c>
      <c r="I95" s="17"/>
      <c r="J95" s="17"/>
      <c r="K95" s="17"/>
      <c r="L95" s="17"/>
      <c r="M95" s="17"/>
      <c r="N95" s="17"/>
      <c r="O95" s="17"/>
      <c r="P95" s="17"/>
      <c r="Q95" s="17"/>
    </row>
    <row r="96" spans="1:17" ht="27" customHeight="1">
      <c r="A96" s="3" t="s">
        <v>151</v>
      </c>
      <c r="B96" s="3"/>
      <c r="C96" s="3"/>
      <c r="D96" s="3"/>
      <c r="E96" s="12">
        <f>0.0</f>
        <v>0.0</v>
      </c>
      <c r="F96" s="12"/>
      <c r="G96" s="12"/>
      <c r="H96" s="17" t="s">
        <v>152</v>
      </c>
      <c r="I96" s="17"/>
      <c r="J96" s="17"/>
      <c r="K96" s="17"/>
      <c r="L96" s="17"/>
      <c r="M96" s="17"/>
      <c r="N96" s="17"/>
      <c r="O96" s="17"/>
      <c r="P96" s="17"/>
      <c r="Q96" s="17"/>
    </row>
    <row r="97" spans="1:17" ht="27" customHeight="1">
      <c r="A97" s="3" t="s">
        <v>153</v>
      </c>
      <c r="B97" s="3"/>
      <c r="C97" s="3"/>
      <c r="D97" s="3"/>
      <c r="E97" s="13">
        <f>1.0</f>
        <v>1.0</v>
      </c>
      <c r="F97" s="13"/>
      <c r="G97" s="13"/>
      <c r="H97" s="17" t="s">
        <v>154</v>
      </c>
      <c r="I97" s="17"/>
      <c r="J97" s="17"/>
      <c r="K97" s="17"/>
      <c r="L97" s="17"/>
      <c r="M97" s="17"/>
      <c r="N97" s="17"/>
      <c r="O97" s="17"/>
      <c r="P97" s="17"/>
      <c r="Q97" s="17"/>
    </row>
    <row r="98" spans="1:17" ht="27" customHeight="1">
      <c r="A98" s="3" t="s">
        <v>155</v>
      </c>
      <c r="B98" s="3"/>
      <c r="C98" s="3"/>
      <c r="D98" s="3"/>
      <c r="E98" s="12">
        <f>10488599.920052351</f>
        <v>10488599.920052351</v>
      </c>
      <c r="F98" s="12"/>
      <c r="G98" s="12"/>
      <c r="H98" s="17" t="s">
        <v>156</v>
      </c>
      <c r="I98" s="17"/>
      <c r="J98" s="17"/>
      <c r="K98" s="17"/>
      <c r="L98" s="17"/>
      <c r="M98" s="17"/>
      <c r="N98" s="17"/>
      <c r="O98" s="17"/>
      <c r="P98" s="17"/>
      <c r="Q98" s="17"/>
    </row>
    <row r="99" spans="1:17" ht="27" customHeight="1">
      <c r="A99" s="3" t="s">
        <v>157</v>
      </c>
      <c r="B99" s="3"/>
      <c r="C99" s="3"/>
      <c r="D99" s="3"/>
      <c r="E99" s="11">
        <f>0</f>
        <v>0</v>
      </c>
      <c r="F99" s="11"/>
      <c r="G99" s="11"/>
      <c r="H99" s="17" t="s">
        <v>158</v>
      </c>
      <c r="I99" s="17"/>
      <c r="J99" s="17"/>
      <c r="K99" s="17"/>
      <c r="L99" s="17"/>
      <c r="M99" s="17"/>
      <c r="N99" s="17"/>
      <c r="O99" s="17"/>
      <c r="P99" s="17"/>
      <c r="Q99" s="17"/>
    </row>
    <row r="100" spans="1:17" ht="27" customHeight="1">
      <c r="A100" s="3" t="s">
        <v>159</v>
      </c>
      <c r="B100" s="3"/>
      <c r="C100" s="3"/>
      <c r="D100" s="3"/>
      <c r="E100" s="12">
        <f>0</f>
        <v>0</v>
      </c>
      <c r="F100" s="12"/>
      <c r="G100" s="12"/>
      <c r="H100" s="17" t="s">
        <v>160</v>
      </c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27" customHeight="1">
      <c r="A101" s="3" t="s">
        <v>161</v>
      </c>
      <c r="B101" s="3"/>
      <c r="C101" s="3"/>
      <c r="D101" s="3"/>
      <c r="E101" s="11">
        <f>0</f>
        <v>0</v>
      </c>
      <c r="F101" s="11"/>
      <c r="G101" s="11"/>
      <c r="H101" s="17" t="s">
        <v>162</v>
      </c>
      <c r="I101" s="17"/>
      <c r="J101" s="17"/>
      <c r="K101" s="17"/>
      <c r="L101" s="17"/>
      <c r="M101" s="17"/>
      <c r="N101" s="17"/>
      <c r="O101" s="17"/>
      <c r="P101" s="17"/>
      <c r="Q101" s="17"/>
    </row>
    <row r="105" spans="1:17" ht="24" customHeight="1">
      <c r="A105" s="15" t="s">
        <v>163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ht="35" customHeight="1">
      <c r="A106" s="16" t="s">
        <v>164</v>
      </c>
      <c r="B106" s="16" t="s">
        <v>165</v>
      </c>
      <c r="C106" s="16" t="s">
        <v>166</v>
      </c>
      <c r="D106" s="16" t="s">
        <v>167</v>
      </c>
      <c r="E106" s="16" t="s">
        <v>168</v>
      </c>
      <c r="F106" s="16" t="s">
        <v>169</v>
      </c>
      <c r="G106" s="16" t="s">
        <v>170</v>
      </c>
      <c r="H106" s="16" t="s">
        <v>171</v>
      </c>
      <c r="I106" s="16" t="s">
        <v>172</v>
      </c>
      <c r="J106" s="16" t="s">
        <v>173</v>
      </c>
      <c r="K106" s="16" t="s">
        <v>174</v>
      </c>
      <c r="L106" s="16" t="s">
        <v>175</v>
      </c>
      <c r="M106" s="16" t="s">
        <v>176</v>
      </c>
      <c r="N106" s="16" t="s">
        <v>177</v>
      </c>
      <c r="O106" s="16" t="s">
        <v>178</v>
      </c>
      <c r="P106" s="16" t="s">
        <v>179</v>
      </c>
      <c r="Q106" s="16" t="s">
        <v>180</v>
      </c>
    </row>
    <row r="107" spans="1:17" ht="46" customHeight="1">
      <c r="A107" s="10" t="s">
        <v>277</v>
      </c>
      <c r="B107" s="10" t="s">
        <v>71</v>
      </c>
      <c r="C107" s="10" t="s">
        <v>182</v>
      </c>
      <c r="D107" s="10" t="s">
        <v>186</v>
      </c>
      <c r="E107" s="6">
        <v>75000000</v>
      </c>
      <c r="F107" s="13">
        <f>1.0735</f>
        <v>1.0735</v>
      </c>
      <c r="G107" s="12">
        <f>80512499.99999999</f>
        <v>80512499.99999999</v>
      </c>
      <c r="H107" s="4">
        <v>45303</v>
      </c>
      <c r="I107" s="4">
        <v>47860</v>
      </c>
      <c r="J107" s="6">
        <v>-420000</v>
      </c>
      <c r="K107" s="10"/>
      <c r="L107" s="10"/>
      <c r="Q107" s="4">
        <v>45301</v>
      </c>
    </row>
    <row r="108" spans="1:17" ht="46" customHeight="1">
      <c r="A108" s="10" t="s">
        <v>279</v>
      </c>
      <c r="B108" s="10" t="s">
        <v>71</v>
      </c>
      <c r="C108" s="10" t="s">
        <v>181</v>
      </c>
      <c r="D108" s="10" t="s">
        <v>186</v>
      </c>
      <c r="E108" s="6">
        <v>30000000</v>
      </c>
      <c r="F108" s="13">
        <f>1.0735</f>
        <v>1.0735</v>
      </c>
      <c r="G108" s="12">
        <f>32204999.999999996</f>
        <v>32204999.999999996</v>
      </c>
      <c r="H108" s="4">
        <v>45665</v>
      </c>
      <c r="I108" s="4">
        <v>45938</v>
      </c>
      <c r="J108" s="6">
        <v>95000</v>
      </c>
      <c r="K108" s="10"/>
      <c r="L108" s="10"/>
      <c r="Q108" s="4">
        <v>45663</v>
      </c>
    </row>
    <row r="109" spans="1:17" ht="46" customHeight="1">
      <c r="A109" s="10" t="s">
        <v>280</v>
      </c>
      <c r="B109" s="10" t="s">
        <v>71</v>
      </c>
      <c r="C109" s="10" t="s">
        <v>181</v>
      </c>
      <c r="D109" s="10" t="s">
        <v>281</v>
      </c>
      <c r="E109" s="6">
        <v>50000000</v>
      </c>
      <c r="F109" s="13">
        <f>1.248</f>
        <v>1.248</v>
      </c>
      <c r="G109" s="12">
        <f>62400000.0</f>
        <v>62400000.0</v>
      </c>
      <c r="H109" s="4">
        <v>45540</v>
      </c>
      <c r="I109" s="4">
        <v>46635</v>
      </c>
      <c r="J109" s="6">
        <v>180000</v>
      </c>
      <c r="K109" s="10"/>
      <c r="L109" s="10"/>
      <c r="Q109" s="4">
        <v>45538</v>
      </c>
    </row>
    <row r="110" spans="1:17" ht="46" customHeight="1">
      <c r="A110" s="10" t="s">
        <v>290</v>
      </c>
      <c r="B110" s="10" t="s">
        <v>291</v>
      </c>
      <c r="C110" s="10" t="s">
        <v>292</v>
      </c>
      <c r="D110" s="10" t="s">
        <v>186</v>
      </c>
      <c r="E110" s="6">
        <v>80000000</v>
      </c>
      <c r="F110" s="13">
        <f>1.0735</f>
        <v>1.0735</v>
      </c>
      <c r="G110" s="12">
        <f>85879999.99999999</f>
        <v>85879999.99999999</v>
      </c>
      <c r="H110" s="4">
        <v>45373</v>
      </c>
      <c r="I110" s="4">
        <v>47199</v>
      </c>
      <c r="J110" s="6">
        <v>2100000</v>
      </c>
      <c r="K110" s="10"/>
      <c r="L110" s="10"/>
      <c r="Q110" s="4">
        <v>45371</v>
      </c>
    </row>
    <row r="111" spans="1:17" ht="46" customHeight="1">
      <c r="A111" s="10" t="s">
        <v>286</v>
      </c>
      <c r="B111" s="10" t="s">
        <v>194</v>
      </c>
      <c r="C111" s="10" t="s">
        <v>293</v>
      </c>
      <c r="D111" s="10" t="s">
        <v>72</v>
      </c>
      <c r="E111" s="6">
        <v>25000000</v>
      </c>
      <c r="F111" s="13">
        <f>1.0</f>
        <v>1.0</v>
      </c>
      <c r="G111" s="12">
        <f>25000000.0</f>
        <v>25000000.0</v>
      </c>
      <c r="H111" s="4">
        <v>45606</v>
      </c>
      <c r="I111" s="4">
        <v>47472</v>
      </c>
      <c r="J111" s="6">
        <v>340000</v>
      </c>
      <c r="K111" s="10" t="s">
        <v>288</v>
      </c>
      <c r="L111" s="10"/>
      <c r="Q111" s="4">
        <v>45604</v>
      </c>
    </row>
    <row r="115" spans="1:17" ht="24" customHeight="1">
      <c r="A115" s="15" t="s">
        <v>190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spans="1:17" ht="35" customHeight="1">
      <c r="A116" s="16" t="s">
        <v>54</v>
      </c>
      <c r="B116" s="16" t="s">
        <v>191</v>
      </c>
      <c r="C116" s="16"/>
      <c r="D116" s="16"/>
      <c r="E116" s="16" t="s">
        <v>64</v>
      </c>
      <c r="F116" s="16" t="s">
        <v>105</v>
      </c>
      <c r="G116" s="16" t="s">
        <v>178</v>
      </c>
      <c r="H116" s="16" t="s">
        <v>192</v>
      </c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 ht="22" customHeight="1">
      <c r="A117" s="10" t="s">
        <v>71</v>
      </c>
      <c r="B117" s="10"/>
      <c r="C117" s="10"/>
      <c r="D117" s="10"/>
      <c r="E117" s="8">
        <v>0.005</v>
      </c>
      <c r="G117" s="8">
        <v>0.5</v>
      </c>
      <c r="H117" s="3" t="s">
        <v>193</v>
      </c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22" customHeight="1">
      <c r="A118" s="10" t="s">
        <v>77</v>
      </c>
      <c r="B118" s="10"/>
      <c r="C118" s="10"/>
      <c r="D118" s="10"/>
      <c r="E118" s="8">
        <v>0.04</v>
      </c>
      <c r="G118" s="8">
        <v>0.15</v>
      </c>
      <c r="H118" s="3" t="s">
        <v>193</v>
      </c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22" customHeight="1">
      <c r="A119" s="10" t="s">
        <v>194</v>
      </c>
      <c r="B119" s="10" t="s">
        <v>195</v>
      </c>
      <c r="C119" s="10"/>
      <c r="D119" s="10"/>
      <c r="E119" s="8">
        <v>0.0046</v>
      </c>
      <c r="F119" s="5">
        <v>0.5</v>
      </c>
      <c r="G119" s="8">
        <v>1</v>
      </c>
      <c r="H119" s="3" t="s">
        <v>193</v>
      </c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22" customHeight="1">
      <c r="A120" s="10" t="s">
        <v>194</v>
      </c>
      <c r="B120" s="10" t="s">
        <v>196</v>
      </c>
      <c r="C120" s="10"/>
      <c r="D120" s="10"/>
      <c r="E120" s="8">
        <v>0.013</v>
      </c>
      <c r="F120" s="5">
        <v>0.5</v>
      </c>
      <c r="G120" s="8">
        <v>1</v>
      </c>
      <c r="H120" s="3" t="s">
        <v>193</v>
      </c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22" customHeight="1">
      <c r="A121" s="10" t="s">
        <v>194</v>
      </c>
      <c r="B121" s="10" t="s">
        <v>197</v>
      </c>
      <c r="C121" s="10"/>
      <c r="D121" s="10"/>
      <c r="E121" s="8">
        <v>0.0038</v>
      </c>
      <c r="F121" s="5">
        <v>0.8</v>
      </c>
      <c r="G121" s="8">
        <v>0.8</v>
      </c>
      <c r="H121" s="3" t="s">
        <v>193</v>
      </c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22" customHeight="1">
      <c r="A122" s="10" t="s">
        <v>194</v>
      </c>
      <c r="B122" s="10" t="s">
        <v>198</v>
      </c>
      <c r="C122" s="10"/>
      <c r="D122" s="10"/>
      <c r="E122" s="8">
        <v>0.0106</v>
      </c>
      <c r="F122" s="5">
        <v>0.8</v>
      </c>
      <c r="G122" s="8">
        <v>0.8</v>
      </c>
      <c r="H122" s="3" t="s">
        <v>193</v>
      </c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22" customHeight="1">
      <c r="A123" s="10" t="s">
        <v>89</v>
      </c>
      <c r="B123" s="10" t="s">
        <v>199</v>
      </c>
      <c r="C123" s="10"/>
      <c r="D123" s="10"/>
      <c r="E123" s="8">
        <v>0.32</v>
      </c>
      <c r="F123" s="5">
        <v>0.5</v>
      </c>
      <c r="G123" s="8">
        <v>1.2</v>
      </c>
      <c r="H123" s="3" t="s">
        <v>193</v>
      </c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22" customHeight="1">
      <c r="A124" s="10" t="s">
        <v>89</v>
      </c>
      <c r="B124" s="10" t="s">
        <v>200</v>
      </c>
      <c r="C124" s="10"/>
      <c r="D124" s="10"/>
      <c r="E124" s="8">
        <v>0.2</v>
      </c>
      <c r="F124" s="5">
        <v>0.8</v>
      </c>
      <c r="G124" s="8">
        <v>0.75</v>
      </c>
      <c r="H124" s="3" t="s">
        <v>193</v>
      </c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22" customHeight="1">
      <c r="A125" s="10" t="s">
        <v>82</v>
      </c>
      <c r="B125" s="10" t="s">
        <v>201</v>
      </c>
      <c r="C125" s="10"/>
      <c r="D125" s="10"/>
      <c r="E125" s="8">
        <v>0.4</v>
      </c>
      <c r="F125" s="5">
        <v>0.4</v>
      </c>
      <c r="G125" s="8">
        <v>1.5</v>
      </c>
      <c r="H125" s="3" t="s">
        <v>193</v>
      </c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22" customHeight="1">
      <c r="A126" s="10" t="s">
        <v>82</v>
      </c>
      <c r="B126" s="10" t="s">
        <v>202</v>
      </c>
      <c r="C126" s="10"/>
      <c r="D126" s="10"/>
      <c r="E126" s="8">
        <v>0.18</v>
      </c>
      <c r="F126" s="5">
        <v>0.4</v>
      </c>
      <c r="G126" s="8">
        <v>0.7</v>
      </c>
      <c r="H126" s="3" t="s">
        <v>193</v>
      </c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22" customHeight="1">
      <c r="A127" s="10" t="s">
        <v>82</v>
      </c>
      <c r="B127" s="10" t="s">
        <v>86</v>
      </c>
      <c r="C127" s="10"/>
      <c r="D127" s="10"/>
      <c r="E127" s="8">
        <v>0.18</v>
      </c>
      <c r="F127" s="5">
        <v>0.4</v>
      </c>
      <c r="G127" s="8">
        <v>0.7</v>
      </c>
      <c r="H127" s="3" t="s">
        <v>193</v>
      </c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22" customHeight="1">
      <c r="A128" s="10" t="s">
        <v>82</v>
      </c>
      <c r="B128" s="10" t="s">
        <v>203</v>
      </c>
      <c r="C128" s="10"/>
      <c r="D128" s="10"/>
      <c r="E128" s="8">
        <v>0.18</v>
      </c>
      <c r="F128" s="5">
        <v>0.4</v>
      </c>
      <c r="G128" s="8">
        <v>0.7</v>
      </c>
      <c r="H128" s="3" t="s">
        <v>193</v>
      </c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22" customHeight="1">
      <c r="A129" s="10" t="s">
        <v>82</v>
      </c>
      <c r="B129" s="10" t="s">
        <v>204</v>
      </c>
      <c r="C129" s="10"/>
      <c r="D129" s="10"/>
      <c r="E129" s="8">
        <v>0.18</v>
      </c>
      <c r="F129" s="5">
        <v>0.4</v>
      </c>
      <c r="G129" s="8">
        <v>0.7</v>
      </c>
      <c r="H129" s="3" t="s">
        <v>193</v>
      </c>
      <c r="I129" s="3"/>
      <c r="J129" s="3"/>
      <c r="K129" s="3"/>
      <c r="L129" s="3"/>
      <c r="M129" s="3"/>
      <c r="N129" s="3"/>
      <c r="O129" s="3"/>
      <c r="P129" s="3"/>
      <c r="Q129" s="3"/>
    </row>
    <row r="133" spans="1:17" ht="24" customHeight="1">
      <c r="A133" s="15" t="s">
        <v>205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spans="1:17" ht="35" customHeight="1">
      <c r="A134" s="16" t="s">
        <v>24</v>
      </c>
      <c r="B134" s="16"/>
      <c r="C134" s="16" t="s">
        <v>28</v>
      </c>
      <c r="D134" s="16" t="s">
        <v>206</v>
      </c>
      <c r="E134" s="16" t="s">
        <v>207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 ht="22" customHeight="1">
      <c r="A135" s="10" t="s">
        <v>208</v>
      </c>
      <c r="B135" s="10"/>
      <c r="C135" s="10" t="s">
        <v>209</v>
      </c>
      <c r="D135" s="8">
        <v>0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 spans="1:17" ht="22" customHeight="1">
      <c r="A136" s="10" t="s">
        <v>208</v>
      </c>
      <c r="B136" s="10"/>
      <c r="C136" s="10" t="s">
        <v>210</v>
      </c>
      <c r="D136" s="8">
        <v>0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1:17" ht="22" customHeight="1">
      <c r="A137" s="10" t="s">
        <v>208</v>
      </c>
      <c r="B137" s="10"/>
      <c r="C137" s="10" t="s">
        <v>211</v>
      </c>
      <c r="D137" s="8">
        <v>0.2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1:17" ht="22" customHeight="1">
      <c r="A138" s="10" t="s">
        <v>208</v>
      </c>
      <c r="B138" s="10"/>
      <c r="C138" s="10" t="s">
        <v>29</v>
      </c>
      <c r="D138" s="8">
        <v>0.5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1:17" ht="22" customHeight="1">
      <c r="A139" s="10" t="s">
        <v>208</v>
      </c>
      <c r="B139" s="10"/>
      <c r="C139" s="10" t="s">
        <v>212</v>
      </c>
      <c r="D139" s="8">
        <v>1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 spans="1:17" ht="22" customHeight="1">
      <c r="A140" s="10" t="s">
        <v>208</v>
      </c>
      <c r="B140" s="10"/>
      <c r="C140" s="10" t="s">
        <v>213</v>
      </c>
      <c r="D140" s="8">
        <v>1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7" ht="22" customHeight="1">
      <c r="A141" s="10" t="s">
        <v>208</v>
      </c>
      <c r="B141" s="10"/>
      <c r="C141" s="10" t="s">
        <v>214</v>
      </c>
      <c r="D141" s="8">
        <v>1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 spans="1:17" ht="22" customHeight="1">
      <c r="A142" s="10" t="s">
        <v>215</v>
      </c>
      <c r="B142" s="10"/>
      <c r="C142" s="10" t="s">
        <v>209</v>
      </c>
      <c r="D142" s="8">
        <v>0.2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 spans="1:17" ht="22" customHeight="1">
      <c r="A143" s="10" t="s">
        <v>215</v>
      </c>
      <c r="B143" s="10"/>
      <c r="C143" s="10" t="s">
        <v>210</v>
      </c>
      <c r="D143" s="8">
        <v>0.2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 spans="1:17" ht="22" customHeight="1">
      <c r="A144" s="10" t="s">
        <v>215</v>
      </c>
      <c r="B144" s="10"/>
      <c r="C144" s="10" t="s">
        <v>211</v>
      </c>
      <c r="D144" s="8">
        <v>0.3</v>
      </c>
      <c r="E144" s="14" t="s">
        <v>216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 spans="1:17" ht="22" customHeight="1">
      <c r="A145" s="10" t="s">
        <v>215</v>
      </c>
      <c r="B145" s="10"/>
      <c r="C145" s="10" t="s">
        <v>29</v>
      </c>
      <c r="D145" s="8">
        <v>0.5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ht="22" customHeight="1">
      <c r="A146" s="10" t="s">
        <v>215</v>
      </c>
      <c r="B146" s="10"/>
      <c r="C146" s="10" t="s">
        <v>212</v>
      </c>
      <c r="D146" s="8">
        <v>1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1:17" ht="22" customHeight="1">
      <c r="A147" s="10" t="s">
        <v>215</v>
      </c>
      <c r="B147" s="10"/>
      <c r="C147" s="10" t="s">
        <v>213</v>
      </c>
      <c r="D147" s="8">
        <v>1.5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1:17" ht="22" customHeight="1">
      <c r="A148" s="10" t="s">
        <v>215</v>
      </c>
      <c r="B148" s="10"/>
      <c r="C148" s="10" t="s">
        <v>214</v>
      </c>
      <c r="D148" s="8">
        <v>0.5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1:17" ht="22" customHeight="1">
      <c r="A149" s="10" t="s">
        <v>25</v>
      </c>
      <c r="B149" s="10"/>
      <c r="C149" s="10" t="s">
        <v>209</v>
      </c>
      <c r="D149" s="8">
        <v>0.2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1:17" ht="22" customHeight="1">
      <c r="A150" s="10" t="s">
        <v>25</v>
      </c>
      <c r="B150" s="10"/>
      <c r="C150" s="10" t="s">
        <v>210</v>
      </c>
      <c r="D150" s="8">
        <v>0.2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1:17" ht="22" customHeight="1">
      <c r="A151" s="10" t="s">
        <v>25</v>
      </c>
      <c r="B151" s="10"/>
      <c r="C151" s="10" t="s">
        <v>211</v>
      </c>
      <c r="D151" s="8">
        <v>0.5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ht="22" customHeight="1">
      <c r="A152" s="10" t="s">
        <v>25</v>
      </c>
      <c r="B152" s="10"/>
      <c r="C152" s="10" t="s">
        <v>29</v>
      </c>
      <c r="D152" s="8">
        <v>0.75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 spans="1:17" ht="22" customHeight="1">
      <c r="A153" s="10" t="s">
        <v>25</v>
      </c>
      <c r="B153" s="10"/>
      <c r="C153" s="10" t="s">
        <v>212</v>
      </c>
      <c r="D153" s="8">
        <v>1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 spans="1:17" ht="22" customHeight="1">
      <c r="A154" s="10" t="s">
        <v>25</v>
      </c>
      <c r="B154" s="10"/>
      <c r="C154" s="10" t="s">
        <v>213</v>
      </c>
      <c r="D154" s="8">
        <v>1.5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 spans="1:17" ht="22" customHeight="1">
      <c r="A155" s="10" t="s">
        <v>25</v>
      </c>
      <c r="B155" s="10"/>
      <c r="C155" s="10" t="s">
        <v>214</v>
      </c>
      <c r="D155" s="8">
        <v>1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9" spans="1:17" ht="24" customHeight="1">
      <c r="A159" s="15" t="s">
        <v>217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spans="1:17" ht="35" customHeight="1">
      <c r="A160" s="16" t="s">
        <v>218</v>
      </c>
      <c r="B160" s="16" t="s">
        <v>219</v>
      </c>
      <c r="C160" s="16"/>
      <c r="D160" s="16" t="s">
        <v>220</v>
      </c>
      <c r="E160" s="16"/>
      <c r="F160" s="16" t="s">
        <v>221</v>
      </c>
      <c r="G160" s="16" t="s">
        <v>222</v>
      </c>
      <c r="H160" s="16" t="s">
        <v>223</v>
      </c>
      <c r="I160" s="16"/>
      <c r="J160" s="16" t="s">
        <v>224</v>
      </c>
      <c r="K160" s="16"/>
      <c r="L160" s="16" t="s">
        <v>225</v>
      </c>
      <c r="M160" s="16"/>
      <c r="N160" s="16" t="s">
        <v>226</v>
      </c>
      <c r="O160" s="16"/>
      <c r="P160" s="16" t="s">
        <v>227</v>
      </c>
      <c r="Q160" s="16"/>
    </row>
    <row r="161" spans="1:17" ht="22" customHeight="1">
      <c r="A161" s="10" t="s">
        <v>294</v>
      </c>
      <c r="B161" s="4">
        <v>45691</v>
      </c>
      <c r="C161" s="17"/>
      <c r="D161" s="4">
        <v>45709</v>
      </c>
      <c r="E161" s="17"/>
      <c r="F161" s="11">
        <f>18</f>
        <v>18</v>
      </c>
      <c r="G161" s="9">
        <v>18</v>
      </c>
      <c r="H161" s="11">
        <f>14</f>
        <v>14</v>
      </c>
      <c r="I161" s="11"/>
      <c r="J161" s="11">
        <f>10</f>
        <v>10</v>
      </c>
      <c r="K161" s="11"/>
      <c r="L161" s="11">
        <f>1</f>
        <v>1</v>
      </c>
      <c r="M161" s="11"/>
      <c r="N161" s="11">
        <f>1</f>
        <v>1</v>
      </c>
      <c r="O161" s="11"/>
      <c r="P161" s="11">
        <f>1</f>
        <v>1</v>
      </c>
      <c r="Q161" s="11"/>
    </row>
    <row r="162" spans="1:17" ht="22" customHeight="1">
      <c r="A162" s="10" t="s">
        <v>295</v>
      </c>
      <c r="B162" s="4">
        <v>45721</v>
      </c>
      <c r="C162" s="17"/>
      <c r="D162" s="4">
        <v>45742</v>
      </c>
      <c r="E162" s="17"/>
      <c r="F162" s="11">
        <f>21</f>
        <v>21</v>
      </c>
      <c r="G162" s="9">
        <v>21</v>
      </c>
      <c r="H162" s="11">
        <f>15</f>
        <v>15</v>
      </c>
      <c r="I162" s="11"/>
      <c r="J162" s="11">
        <f>10</f>
        <v>10</v>
      </c>
      <c r="K162" s="11"/>
      <c r="L162" s="11">
        <f>1</f>
        <v>1</v>
      </c>
      <c r="M162" s="11"/>
      <c r="N162" s="11">
        <f>1</f>
        <v>1</v>
      </c>
      <c r="O162" s="11"/>
      <c r="P162" s="11">
        <f>1</f>
        <v>1</v>
      </c>
      <c r="Q162" s="11"/>
    </row>
    <row r="163" spans="1:17" ht="22" customHeight="1">
      <c r="A163" s="10" t="s">
        <v>296</v>
      </c>
      <c r="B163" s="4">
        <v>45741</v>
      </c>
      <c r="C163" s="17"/>
      <c r="D163" s="4">
        <v>45763</v>
      </c>
      <c r="E163" s="17"/>
      <c r="F163" s="11">
        <f>22</f>
        <v>22</v>
      </c>
      <c r="G163" s="9">
        <v>22</v>
      </c>
      <c r="H163" s="11">
        <f>16</f>
        <v>16</v>
      </c>
      <c r="I163" s="11"/>
      <c r="J163" s="11">
        <f>10</f>
        <v>10</v>
      </c>
      <c r="K163" s="11"/>
      <c r="L163" s="11">
        <f>1</f>
        <v>1</v>
      </c>
      <c r="M163" s="11"/>
      <c r="N163" s="11">
        <f>1</f>
        <v>1</v>
      </c>
      <c r="O163" s="11"/>
      <c r="P163" s="11">
        <f>1</f>
        <v>1</v>
      </c>
      <c r="Q163" s="11"/>
    </row>
    <row r="167" spans="1:17" ht="24" customHeight="1">
      <c r="A167" s="15" t="s">
        <v>229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spans="1:17" ht="35" customHeight="1">
      <c r="A168" s="16" t="s">
        <v>230</v>
      </c>
      <c r="B168" s="16"/>
      <c r="C168" s="16" t="s">
        <v>231</v>
      </c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17" ht="22" customHeight="1">
      <c r="A169" s="4">
        <v>45292</v>
      </c>
      <c r="B169" s="17"/>
      <c r="C169" s="3" t="s">
        <v>232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22" customHeight="1">
      <c r="A170" s="4">
        <v>45380</v>
      </c>
      <c r="B170" s="17"/>
    </row>
    <row r="171" spans="1:17" ht="22" customHeight="1">
      <c r="A171" s="4">
        <v>45383</v>
      </c>
      <c r="B171" s="17"/>
    </row>
    <row r="172" spans="1:17" ht="22" customHeight="1">
      <c r="A172" s="4">
        <v>45413</v>
      </c>
      <c r="B172" s="17"/>
    </row>
    <row r="173" spans="1:17" ht="22" customHeight="1">
      <c r="A173" s="4">
        <v>45651</v>
      </c>
      <c r="B173" s="17"/>
    </row>
    <row r="174" spans="1:17" ht="22" customHeight="1">
      <c r="A174" s="4">
        <v>45652</v>
      </c>
      <c r="B174" s="17"/>
    </row>
    <row r="175" spans="1:17" ht="22" customHeight="1">
      <c r="A175" s="4">
        <v>45658</v>
      </c>
      <c r="B175" s="17"/>
    </row>
    <row r="176" spans="1:17" ht="22" customHeight="1">
      <c r="A176" s="4">
        <v>45765</v>
      </c>
      <c r="B176" s="17"/>
    </row>
    <row r="177" spans="1:17" ht="22" customHeight="1">
      <c r="A177" s="4">
        <v>45768</v>
      </c>
      <c r="B177" s="17"/>
    </row>
    <row r="178" spans="1:17" ht="22" customHeight="1">
      <c r="A178" s="4">
        <v>45778</v>
      </c>
      <c r="B178" s="17"/>
    </row>
    <row r="179" spans="1:17" ht="22" customHeight="1">
      <c r="A179" s="4">
        <v>46016</v>
      </c>
      <c r="B179" s="17"/>
    </row>
    <row r="180" spans="1:17" ht="22" customHeight="1">
      <c r="A180" s="4">
        <v>46017</v>
      </c>
      <c r="B180" s="17"/>
    </row>
    <row r="181" spans="1:17" ht="22" customHeight="1">
      <c r="A181" s="4">
        <v>46023</v>
      </c>
      <c r="B181" s="17"/>
    </row>
    <row r="182" spans="1:17" ht="22" customHeight="1">
      <c r="A182" s="4">
        <v>46115</v>
      </c>
      <c r="B182" s="17"/>
    </row>
    <row r="183" spans="1:17" ht="22" customHeight="1">
      <c r="A183" s="4">
        <v>46118</v>
      </c>
      <c r="B183" s="17"/>
    </row>
    <row r="184" spans="1:17" ht="22" customHeight="1">
      <c r="A184" s="4">
        <v>46143</v>
      </c>
      <c r="B184" s="17"/>
    </row>
    <row r="185" spans="1:17" ht="22" customHeight="1">
      <c r="A185" s="4">
        <v>46381</v>
      </c>
      <c r="B185" s="17"/>
    </row>
    <row r="189" spans="1:17" ht="24" customHeight="1">
      <c r="A189" s="15" t="s">
        <v>233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spans="1:17" ht="30" customHeight="1">
      <c r="A190" s="14" t="s">
        <v>234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1:17" ht="30" customHeight="1">
      <c r="A191" s="14" t="s">
        <v>235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 spans="1:17" ht="30" customHeight="1">
      <c r="A192" s="14" t="s">
        <v>236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 spans="1:17" ht="30" customHeight="1">
      <c r="A193" s="14" t="s">
        <v>237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 spans="1:17" ht="30" customHeight="1">
      <c r="A194" s="14" t="s">
        <v>238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spans="1:17" ht="30" customHeight="1">
      <c r="A195" s="14" t="s">
        <v>239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 spans="1:17" ht="30" customHeight="1">
      <c r="A196" s="14" t="s">
        <v>240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 spans="1:17" ht="30" customHeight="1">
      <c r="A197" s="14" t="s">
        <v>241</v>
      </c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 spans="1:17" ht="30" customHeight="1">
      <c r="A198" s="14" t="s">
        <v>297</v>
      </c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1:17" ht="30" customHeight="1">
      <c r="A199" s="14" t="s">
        <v>298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1:17" ht="30" customHeight="1">
      <c r="A200" s="14" t="s">
        <v>299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1:17" ht="30" customHeight="1">
      <c r="A201" s="14" t="s">
        <v>300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1:17" ht="30" customHeight="1">
      <c r="A202" s="14" t="s">
        <v>301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1:17" ht="30" customHeight="1">
      <c r="A203" s="14" t="s">
        <v>302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1:17" ht="30" customHeight="1">
      <c r="A204" s="14" t="s">
        <v>242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1:17" ht="30" customHeight="1">
      <c r="A205" s="14" t="s">
        <v>243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1:17" ht="30" customHeight="1">
      <c r="A206" s="14" t="s">
        <v>244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1:17" ht="48" customHeight="1">
      <c r="A207" s="14" t="s">
        <v>303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9" spans="1:17" ht="22" customHeight="1">
      <c r="A209" s="3" t="s">
        <v>245</v>
      </c>
      <c r="B209" s="3"/>
      <c r="C209" s="3"/>
      <c r="D209" s="3"/>
      <c r="E209" s="20" t="s">
        <v>246</v>
      </c>
    </row>
    <row r="210" spans="1:17" ht="22" customHeight="1">
      <c r="A210" s="3" t="s">
        <v>247</v>
      </c>
      <c r="B210" s="3"/>
      <c r="C210" s="3"/>
      <c r="D210" s="3"/>
      <c r="E210" s="20" t="s">
        <v>248</v>
      </c>
    </row>
    <row r="211" spans="1:17" ht="22" customHeight="1">
      <c r="A211" s="3" t="s">
        <v>249</v>
      </c>
      <c r="B211" s="3"/>
      <c r="C211" s="3"/>
      <c r="D211" s="3"/>
      <c r="E211" s="20" t="s">
        <v>250</v>
      </c>
    </row>
    <row r="213" spans="1:17" ht="35" customHeight="1">
      <c r="A213" s="16" t="s">
        <v>251</v>
      </c>
      <c r="B213" s="16"/>
      <c r="C213" s="16"/>
      <c r="D213" s="16"/>
      <c r="E213" s="16" t="s">
        <v>252</v>
      </c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17" ht="22" customHeight="1">
      <c r="A214" s="3" t="s">
        <v>253</v>
      </c>
      <c r="B214" s="3"/>
      <c r="C214" s="3"/>
      <c r="D214" s="3"/>
      <c r="E214" s="17" t="s">
        <v>254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 spans="1:17" ht="22" customHeight="1">
      <c r="A215" s="3" t="s">
        <v>255</v>
      </c>
      <c r="B215" s="3"/>
      <c r="C215" s="3"/>
      <c r="D215" s="3"/>
      <c r="E215" s="17" t="s">
        <v>256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 spans="1:17" ht="22" customHeight="1">
      <c r="A216" s="3" t="s">
        <v>257</v>
      </c>
      <c r="B216" s="3"/>
      <c r="C216" s="3"/>
      <c r="D216" s="3"/>
      <c r="E216" s="17" t="s">
        <v>258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ht="22" customHeight="1">
      <c r="A217" s="3" t="s">
        <v>259</v>
      </c>
      <c r="B217" s="3"/>
      <c r="C217" s="3"/>
      <c r="D217" s="3"/>
      <c r="E217" s="17" t="s">
        <v>260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 spans="1:17" ht="22" customHeight="1">
      <c r="A218" s="3" t="s">
        <v>261</v>
      </c>
      <c r="B218" s="3"/>
      <c r="C218" s="3"/>
      <c r="D218" s="3"/>
      <c r="E218" s="17" t="s">
        <v>262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 spans="1:17" ht="22" customHeight="1">
      <c r="A219" s="3" t="s">
        <v>263</v>
      </c>
      <c r="B219" s="3"/>
      <c r="C219" s="3"/>
      <c r="D219" s="3"/>
      <c r="E219" s="17" t="s">
        <v>264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 spans="1:17" ht="22" customHeight="1">
      <c r="A220" s="3" t="s">
        <v>265</v>
      </c>
      <c r="B220" s="3"/>
      <c r="C220" s="3"/>
      <c r="D220" s="3"/>
      <c r="E220" s="17" t="s">
        <v>266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 spans="1:17" ht="22" customHeight="1">
      <c r="A221" s="3" t="s">
        <v>267</v>
      </c>
      <c r="B221" s="3"/>
      <c r="C221" s="3"/>
      <c r="D221" s="3"/>
      <c r="E221" s="17" t="s">
        <v>268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ht="22" customHeight="1">
      <c r="A222" s="3" t="s">
        <v>269</v>
      </c>
      <c r="B222" s="3"/>
      <c r="C222" s="3"/>
      <c r="D222" s="3"/>
      <c r="E222" s="17" t="s">
        <v>270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</sheetData>
  <autoFilter ref="A25:Q32"/>
  <mergeCells count="408">
    <mergeCell ref="A1:Q1"/>
    <mergeCell ref="A2:Q2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F4:H4"/>
    <mergeCell ref="F5:H5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I17:K17"/>
    <mergeCell ref="L4:N4"/>
    <mergeCell ref="O4:Q4"/>
    <mergeCell ref="L5:N5"/>
    <mergeCell ref="O5:Q5"/>
    <mergeCell ref="L6:N6"/>
    <mergeCell ref="O6:Q6"/>
    <mergeCell ref="L7:N7"/>
    <mergeCell ref="O7:Q7"/>
    <mergeCell ref="L8:N8"/>
    <mergeCell ref="O8:Q8"/>
    <mergeCell ref="L9:N9"/>
    <mergeCell ref="O9:Q9"/>
    <mergeCell ref="L10:N10"/>
    <mergeCell ref="O10:Q10"/>
    <mergeCell ref="L11:N11"/>
    <mergeCell ref="O11:Q11"/>
    <mergeCell ref="L12:N12"/>
    <mergeCell ref="O12:Q12"/>
    <mergeCell ref="L13:N13"/>
    <mergeCell ref="O13:Q13"/>
    <mergeCell ref="L14:N14"/>
    <mergeCell ref="O14:Q14"/>
    <mergeCell ref="L15:N15"/>
    <mergeCell ref="O15:Q15"/>
    <mergeCell ref="L16:N16"/>
    <mergeCell ref="O16:Q16"/>
    <mergeCell ref="L17:N17"/>
    <mergeCell ref="O17:Q17"/>
    <mergeCell ref="A20:Q20"/>
    <mergeCell ref="A21:Q21"/>
    <mergeCell ref="A22:Q22"/>
    <mergeCell ref="A24:Q24"/>
    <mergeCell ref="A35:Q35"/>
    <mergeCell ref="B37:C37"/>
    <mergeCell ref="D37:E37"/>
    <mergeCell ref="F37:G37"/>
    <mergeCell ref="H37:J37"/>
    <mergeCell ref="M37:Q37"/>
    <mergeCell ref="B38:C38"/>
    <mergeCell ref="D38:E38"/>
    <mergeCell ref="F38:G38"/>
    <mergeCell ref="H38:J38"/>
    <mergeCell ref="M38:Q38"/>
    <mergeCell ref="B39:C39"/>
    <mergeCell ref="D39:E39"/>
    <mergeCell ref="F39:G39"/>
    <mergeCell ref="H39:J39"/>
    <mergeCell ref="M39:Q39"/>
    <mergeCell ref="B40:C40"/>
    <mergeCell ref="D40:E40"/>
    <mergeCell ref="F40:G40"/>
    <mergeCell ref="H40:J40"/>
    <mergeCell ref="M40:Q40"/>
    <mergeCell ref="A43:C43"/>
    <mergeCell ref="D43:G43"/>
    <mergeCell ref="J43:Q43"/>
    <mergeCell ref="A44:C44"/>
    <mergeCell ref="D44:G44"/>
    <mergeCell ref="J44:Q44"/>
    <mergeCell ref="B47:C47"/>
    <mergeCell ref="D47:E47"/>
    <mergeCell ref="F47:G47"/>
    <mergeCell ref="J47:K47"/>
    <mergeCell ref="L47:M47"/>
    <mergeCell ref="N47:O47"/>
    <mergeCell ref="P47:Q47"/>
    <mergeCell ref="B48:C48"/>
    <mergeCell ref="D48:E48"/>
    <mergeCell ref="F48:G48"/>
    <mergeCell ref="J48:K48"/>
    <mergeCell ref="L48:M48"/>
    <mergeCell ref="N48:O48"/>
    <mergeCell ref="P48:Q48"/>
    <mergeCell ref="B51:C51"/>
    <mergeCell ref="D51:I51"/>
    <mergeCell ref="J51:M51"/>
    <mergeCell ref="N51:Q51"/>
    <mergeCell ref="B52:C52"/>
    <mergeCell ref="D52:I52"/>
    <mergeCell ref="J52:M52"/>
    <mergeCell ref="N52:Q52"/>
    <mergeCell ref="A55:Q55"/>
    <mergeCell ref="B57:C57"/>
    <mergeCell ref="D57:E57"/>
    <mergeCell ref="F57:G57"/>
    <mergeCell ref="H57:J57"/>
    <mergeCell ref="M57:Q57"/>
    <mergeCell ref="B58:C58"/>
    <mergeCell ref="D58:E58"/>
    <mergeCell ref="F58:G58"/>
    <mergeCell ref="H58:J58"/>
    <mergeCell ref="M58:Q58"/>
    <mergeCell ref="B59:C59"/>
    <mergeCell ref="D59:E59"/>
    <mergeCell ref="F59:G59"/>
    <mergeCell ref="H59:J59"/>
    <mergeCell ref="M59:Q59"/>
    <mergeCell ref="B60:C60"/>
    <mergeCell ref="D60:E60"/>
    <mergeCell ref="F60:G60"/>
    <mergeCell ref="H60:J60"/>
    <mergeCell ref="M60:Q60"/>
    <mergeCell ref="A63:C63"/>
    <mergeCell ref="D63:G63"/>
    <mergeCell ref="J63:Q63"/>
    <mergeCell ref="A64:C64"/>
    <mergeCell ref="D64:G64"/>
    <mergeCell ref="J64:Q64"/>
    <mergeCell ref="B67:C67"/>
    <mergeCell ref="D67:E67"/>
    <mergeCell ref="F67:G67"/>
    <mergeCell ref="J67:K67"/>
    <mergeCell ref="L67:M67"/>
    <mergeCell ref="N67:O67"/>
    <mergeCell ref="P67:Q67"/>
    <mergeCell ref="B68:C68"/>
    <mergeCell ref="D68:E68"/>
    <mergeCell ref="F68:G68"/>
    <mergeCell ref="J68:K68"/>
    <mergeCell ref="L68:M68"/>
    <mergeCell ref="N68:O68"/>
    <mergeCell ref="P68:Q68"/>
    <mergeCell ref="B71:C71"/>
    <mergeCell ref="D71:I71"/>
    <mergeCell ref="J71:M71"/>
    <mergeCell ref="N71:Q71"/>
    <mergeCell ref="B72:C72"/>
    <mergeCell ref="D72:I72"/>
    <mergeCell ref="J72:M72"/>
    <mergeCell ref="N72:Q72"/>
    <mergeCell ref="A75:Q75"/>
    <mergeCell ref="A76:D76"/>
    <mergeCell ref="E76:G76"/>
    <mergeCell ref="H76:Q76"/>
    <mergeCell ref="A77:D77"/>
    <mergeCell ref="E77:G77"/>
    <mergeCell ref="H77:Q77"/>
    <mergeCell ref="A78:D78"/>
    <mergeCell ref="E78:G78"/>
    <mergeCell ref="H78:Q78"/>
    <mergeCell ref="A79:D79"/>
    <mergeCell ref="E79:G79"/>
    <mergeCell ref="H79:Q79"/>
    <mergeCell ref="A80:D80"/>
    <mergeCell ref="E80:G80"/>
    <mergeCell ref="H80:Q80"/>
    <mergeCell ref="A81:D81"/>
    <mergeCell ref="E81:G81"/>
    <mergeCell ref="H81:Q81"/>
    <mergeCell ref="A82:D82"/>
    <mergeCell ref="E82:G82"/>
    <mergeCell ref="H82:Q82"/>
    <mergeCell ref="A83:D83"/>
    <mergeCell ref="E83:G83"/>
    <mergeCell ref="H83:Q83"/>
    <mergeCell ref="A84:D84"/>
    <mergeCell ref="E84:G84"/>
    <mergeCell ref="H84:Q84"/>
    <mergeCell ref="A85:D85"/>
    <mergeCell ref="E85:G85"/>
    <mergeCell ref="H85:Q85"/>
    <mergeCell ref="A86:D86"/>
    <mergeCell ref="E86:G86"/>
    <mergeCell ref="H86:Q86"/>
    <mergeCell ref="A87:D87"/>
    <mergeCell ref="E87:G87"/>
    <mergeCell ref="H87:Q87"/>
    <mergeCell ref="A88:D88"/>
    <mergeCell ref="E88:G88"/>
    <mergeCell ref="H88:Q88"/>
    <mergeCell ref="A89:D89"/>
    <mergeCell ref="E89:G89"/>
    <mergeCell ref="H89:Q89"/>
    <mergeCell ref="A90:D90"/>
    <mergeCell ref="E90:G90"/>
    <mergeCell ref="H90:Q90"/>
    <mergeCell ref="A91:D91"/>
    <mergeCell ref="E91:G91"/>
    <mergeCell ref="H91:Q91"/>
    <mergeCell ref="A92:D92"/>
    <mergeCell ref="E92:G92"/>
    <mergeCell ref="H92:Q92"/>
    <mergeCell ref="A93:D93"/>
    <mergeCell ref="E93:G93"/>
    <mergeCell ref="H93:Q93"/>
    <mergeCell ref="A94:D94"/>
    <mergeCell ref="E94:G94"/>
    <mergeCell ref="H94:Q94"/>
    <mergeCell ref="A95:D95"/>
    <mergeCell ref="E95:G95"/>
    <mergeCell ref="H95:Q95"/>
    <mergeCell ref="A96:D96"/>
    <mergeCell ref="E96:G96"/>
    <mergeCell ref="H96:Q96"/>
    <mergeCell ref="A97:D97"/>
    <mergeCell ref="E97:G97"/>
    <mergeCell ref="H97:Q97"/>
    <mergeCell ref="A98:D98"/>
    <mergeCell ref="E98:G98"/>
    <mergeCell ref="H98:Q98"/>
    <mergeCell ref="A99:D99"/>
    <mergeCell ref="E99:G99"/>
    <mergeCell ref="H99:Q99"/>
    <mergeCell ref="A100:D100"/>
    <mergeCell ref="E100:G100"/>
    <mergeCell ref="H100:Q100"/>
    <mergeCell ref="A101:D101"/>
    <mergeCell ref="E101:G101"/>
    <mergeCell ref="H101:Q101"/>
    <mergeCell ref="A105:Q105"/>
    <mergeCell ref="A115:Q115"/>
    <mergeCell ref="B116:D116"/>
    <mergeCell ref="H116:Q116"/>
    <mergeCell ref="B117:D117"/>
    <mergeCell ref="H117:Q117"/>
    <mergeCell ref="B118:D118"/>
    <mergeCell ref="H118:Q118"/>
    <mergeCell ref="B119:D119"/>
    <mergeCell ref="H119:Q119"/>
    <mergeCell ref="B120:D120"/>
    <mergeCell ref="H120:Q120"/>
    <mergeCell ref="B121:D121"/>
    <mergeCell ref="H121:Q121"/>
    <mergeCell ref="B122:D122"/>
    <mergeCell ref="H122:Q122"/>
    <mergeCell ref="B123:D123"/>
    <mergeCell ref="H123:Q123"/>
    <mergeCell ref="B124:D124"/>
    <mergeCell ref="H124:Q124"/>
    <mergeCell ref="B125:D125"/>
    <mergeCell ref="H125:Q125"/>
    <mergeCell ref="B126:D126"/>
    <mergeCell ref="H126:Q126"/>
    <mergeCell ref="B127:D127"/>
    <mergeCell ref="H127:Q127"/>
    <mergeCell ref="B128:D128"/>
    <mergeCell ref="H128:Q128"/>
    <mergeCell ref="B129:D129"/>
    <mergeCell ref="H129:Q129"/>
    <mergeCell ref="A133:Q133"/>
    <mergeCell ref="A134:B134"/>
    <mergeCell ref="E134:Q134"/>
    <mergeCell ref="A135:B135"/>
    <mergeCell ref="E135:Q135"/>
    <mergeCell ref="A136:B136"/>
    <mergeCell ref="E136:Q136"/>
    <mergeCell ref="A137:B137"/>
    <mergeCell ref="E137:Q137"/>
    <mergeCell ref="A138:B138"/>
    <mergeCell ref="E138:Q138"/>
    <mergeCell ref="A139:B139"/>
    <mergeCell ref="E139:Q139"/>
    <mergeCell ref="A140:B140"/>
    <mergeCell ref="E140:Q140"/>
    <mergeCell ref="A141:B141"/>
    <mergeCell ref="E141:Q141"/>
    <mergeCell ref="A142:B142"/>
    <mergeCell ref="E142:Q142"/>
    <mergeCell ref="A143:B143"/>
    <mergeCell ref="E143:Q143"/>
    <mergeCell ref="A144:B144"/>
    <mergeCell ref="E144:Q144"/>
    <mergeCell ref="A145:B145"/>
    <mergeCell ref="E145:Q145"/>
    <mergeCell ref="A146:B146"/>
    <mergeCell ref="E146:Q146"/>
    <mergeCell ref="A147:B147"/>
    <mergeCell ref="E147:Q147"/>
    <mergeCell ref="A148:B148"/>
    <mergeCell ref="E148:Q148"/>
    <mergeCell ref="A149:B149"/>
    <mergeCell ref="E149:Q149"/>
    <mergeCell ref="A150:B150"/>
    <mergeCell ref="E150:Q150"/>
    <mergeCell ref="A151:B151"/>
    <mergeCell ref="E151:Q151"/>
    <mergeCell ref="A152:B152"/>
    <mergeCell ref="E152:Q152"/>
    <mergeCell ref="A153:B153"/>
    <mergeCell ref="E153:Q153"/>
    <mergeCell ref="A154:B154"/>
    <mergeCell ref="E154:Q154"/>
    <mergeCell ref="A155:B155"/>
    <mergeCell ref="E155:Q155"/>
    <mergeCell ref="A159:Q159"/>
    <mergeCell ref="B160:C160"/>
    <mergeCell ref="D160:E160"/>
    <mergeCell ref="H160:I160"/>
    <mergeCell ref="J160:K160"/>
    <mergeCell ref="L160:M160"/>
    <mergeCell ref="N160:O160"/>
    <mergeCell ref="P160:Q160"/>
    <mergeCell ref="B161:C161"/>
    <mergeCell ref="D161:E161"/>
    <mergeCell ref="H161:I161"/>
    <mergeCell ref="J161:K161"/>
    <mergeCell ref="L161:M161"/>
    <mergeCell ref="N161:O161"/>
    <mergeCell ref="P161:Q161"/>
    <mergeCell ref="B162:C162"/>
    <mergeCell ref="D162:E162"/>
    <mergeCell ref="H162:I162"/>
    <mergeCell ref="J162:K162"/>
    <mergeCell ref="L162:M162"/>
    <mergeCell ref="N162:O162"/>
    <mergeCell ref="P162:Q162"/>
    <mergeCell ref="B163:C163"/>
    <mergeCell ref="D163:E163"/>
    <mergeCell ref="H163:I163"/>
    <mergeCell ref="J163:K163"/>
    <mergeCell ref="L163:M163"/>
    <mergeCell ref="N163:O163"/>
    <mergeCell ref="P163:Q163"/>
    <mergeCell ref="A167:Q167"/>
    <mergeCell ref="A168:B168"/>
    <mergeCell ref="C168:Q168"/>
    <mergeCell ref="A169:B169"/>
    <mergeCell ref="C169:Q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9:Q189"/>
    <mergeCell ref="A190:Q190"/>
    <mergeCell ref="A191:Q191"/>
    <mergeCell ref="A192:Q192"/>
    <mergeCell ref="A193:Q193"/>
    <mergeCell ref="A194:Q194"/>
    <mergeCell ref="A195:Q195"/>
    <mergeCell ref="A196:Q196"/>
    <mergeCell ref="A197:Q197"/>
    <mergeCell ref="A198:Q198"/>
    <mergeCell ref="A199:Q199"/>
    <mergeCell ref="A200:Q200"/>
    <mergeCell ref="A201:Q201"/>
    <mergeCell ref="A202:Q202"/>
    <mergeCell ref="A203:Q203"/>
    <mergeCell ref="A204:Q204"/>
    <mergeCell ref="A205:Q205"/>
    <mergeCell ref="A206:Q206"/>
    <mergeCell ref="A207:Q207"/>
    <mergeCell ref="A209:D209"/>
    <mergeCell ref="A210:D210"/>
    <mergeCell ref="A211:D211"/>
    <mergeCell ref="A213:D213"/>
    <mergeCell ref="E213:Q213"/>
    <mergeCell ref="A214:D214"/>
    <mergeCell ref="E214:Q214"/>
    <mergeCell ref="A215:D215"/>
    <mergeCell ref="E215:Q215"/>
    <mergeCell ref="A216:D216"/>
    <mergeCell ref="E216:Q216"/>
    <mergeCell ref="A217:D217"/>
    <mergeCell ref="E217:Q217"/>
    <mergeCell ref="A218:D218"/>
    <mergeCell ref="E218:Q218"/>
    <mergeCell ref="A219:D219"/>
    <mergeCell ref="E219:Q219"/>
    <mergeCell ref="A220:D220"/>
    <mergeCell ref="E220:Q220"/>
    <mergeCell ref="A221:D221"/>
    <mergeCell ref="E221:Q221"/>
    <mergeCell ref="A222:D222"/>
    <mergeCell ref="E222:Q222"/>
  </mergeCells>
  <hyperlinks>
    <hyperlink ref="E209" r:id="rId1"/>
    <hyperlink ref="E210" r:id="rId2"/>
    <hyperlink ref="E211" r:id="rId3"/>
  </hyperlinks>
  <pageMargins left="0.25" right="0.25" top="0.35" bottom="0.35" header="0.3" footer="0.3"/>
  <pageSetup paperSize="8" fitToHeight="0" orientation="landscape"/>
  <headerFooter>
    <oddHeader>&amp;LCP_B | EU SA-CCR / CRR3&amp;RCOB 2025-04-29</oddHeader>
    <oddFooter>&amp;LUSD amounts; full-precision formulas&amp;C&amp;P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CP_A</vt:lpstr>
      <vt:lpstr>CP_B</vt:lpstr>
      <vt:lpstr>CP_A!Print_Area</vt:lpstr>
      <vt:lpstr>CP_B!Print_Area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 SA-CCR / CRR3 — COB 29 April 2025</dc:title>
  <dc:subject>Auditable netting-set exposure, RWA and 8% capital</dc:subject>
  <dc:creator>Counterparty Credit Risk</dc:creator>
  <dc:description>Source inputs are embedded. Formulas and cached full-precision results are retained.</dc:description>
  <cp:lastModifiedBy>Counterparty Credit Risk</cp:lastModifiedBy>
  <dcterms:created xsi:type="dcterms:W3CDTF">2026-08-31T10:20:52Z</dcterms:created>
  <dcterms:modified xsi:type="dcterms:W3CDTF">2026-08-31T10:20:52Z</dcterms:modified>
</cp:coreProperties>
</file>